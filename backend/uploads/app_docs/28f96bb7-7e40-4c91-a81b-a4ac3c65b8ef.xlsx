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Ciobotaru\Dropbox\Sabina\1. Forestier DR24\2. Proiecte pentru depus  - Sesiunea 1\6. TANI DANONA SRL\Proiect\"/>
    </mc:Choice>
  </mc:AlternateContent>
  <xr:revisionPtr revIDLastSave="0" documentId="13_ncr:1_{BA909B9A-8DA2-4101-904D-594ABE530EBD}" xr6:coauthVersionLast="47" xr6:coauthVersionMax="47" xr10:uidLastSave="{00000000-0000-0000-0000-000000000000}"/>
  <bookViews>
    <workbookView xWindow="780" yWindow="0" windowWidth="12156" windowHeight="12144" xr2:uid="{00000000-000D-0000-FFFF-FFFF00000000}"/>
  </bookViews>
  <sheets>
    <sheet name="Tabelle1" sheetId="1" r:id="rId1"/>
    <sheet name="Tabelle1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2" i="1" l="1"/>
  <c r="Q59" i="1"/>
  <c r="O59" i="1"/>
  <c r="N59" i="1"/>
  <c r="M59" i="1"/>
  <c r="L59" i="1"/>
  <c r="K59" i="1"/>
  <c r="J59" i="1"/>
  <c r="I59" i="1"/>
  <c r="H59" i="1"/>
  <c r="G59" i="1"/>
  <c r="F59" i="1"/>
  <c r="E59" i="1"/>
  <c r="D59" i="1"/>
  <c r="P8" i="2"/>
  <c r="O8" i="2"/>
  <c r="N8" i="2"/>
  <c r="M8" i="2"/>
  <c r="L8" i="2"/>
  <c r="K8" i="2"/>
  <c r="J8" i="2"/>
  <c r="I8" i="2"/>
  <c r="H8" i="2"/>
  <c r="G8" i="2"/>
  <c r="F8" i="2"/>
  <c r="E8" i="2"/>
  <c r="D8" i="2"/>
  <c r="D6" i="2"/>
  <c r="P6" i="2"/>
  <c r="O6" i="2"/>
  <c r="N6" i="2"/>
  <c r="M6" i="2"/>
  <c r="L6" i="2"/>
  <c r="K6" i="2"/>
  <c r="J6" i="2"/>
  <c r="I6" i="2"/>
  <c r="H6" i="2"/>
  <c r="G6" i="2"/>
  <c r="F6" i="2"/>
  <c r="E6" i="2"/>
  <c r="R4" i="2" l="1"/>
  <c r="O4" i="2"/>
  <c r="N4" i="2"/>
  <c r="M4" i="2"/>
  <c r="L4" i="2"/>
  <c r="K4" i="2"/>
  <c r="J4" i="2"/>
  <c r="I4" i="2"/>
  <c r="H4" i="2"/>
  <c r="G4" i="2"/>
  <c r="F4" i="2"/>
  <c r="E4" i="2"/>
  <c r="D4" i="2"/>
  <c r="F31" i="2"/>
  <c r="E31" i="2"/>
  <c r="E212" i="1"/>
  <c r="Q61" i="1"/>
  <c r="Q63" i="1"/>
  <c r="Q8" i="2" l="1"/>
  <c r="R8" i="2" s="1"/>
  <c r="Q6" i="2"/>
  <c r="R6" i="2" s="1"/>
  <c r="Q4" i="2"/>
</calcChain>
</file>

<file path=xl/sharedStrings.xml><?xml version="1.0" encoding="utf-8"?>
<sst xmlns="http://schemas.openxmlformats.org/spreadsheetml/2006/main" count="560" uniqueCount="276">
  <si>
    <t>ANEXA 4</t>
  </si>
  <si>
    <r>
      <rPr>
        <b/>
        <sz val="11"/>
        <color theme="1"/>
        <rFont val="Calibri"/>
        <family val="2"/>
        <scheme val="minor"/>
      </rPr>
      <t>Tabel nr.1  - Informații furnizate de solicitanții Ocoale Silvice</t>
    </r>
    <r>
      <rPr>
        <sz val="11"/>
        <color theme="1"/>
        <rFont val="Calibri"/>
        <family val="2"/>
        <scheme val="minor"/>
      </rPr>
      <t xml:space="preserve"> (Valorile din tabel sunt pentru exemplificare)</t>
    </r>
  </si>
  <si>
    <t>Denumire UP</t>
  </si>
  <si>
    <t>u.a.</t>
  </si>
  <si>
    <t>Suprafața (ha)</t>
  </si>
  <si>
    <t>Tip de stațiune (TS)</t>
  </si>
  <si>
    <t>Suprafață ajustată (ha)
C (coloana 3 x 2,5)
D (coloana 3 x 1,5)
M (coloana 3)</t>
  </si>
  <si>
    <t>Ultimul an de aplicare amenajament
(an/NA)</t>
  </si>
  <si>
    <t xml:space="preserve">Suprafața în amenajament (ha)
</t>
  </si>
  <si>
    <t>Contract administrare (A)/prestări servicii (P)
(A/P)</t>
  </si>
  <si>
    <t>Nr. Contract</t>
  </si>
  <si>
    <t>Ultimul an de contract
(an/NA)</t>
  </si>
  <si>
    <t>Proprietate forme asociative (DA/NU)</t>
  </si>
  <si>
    <t>Zona altitudinală
câmpie(C)/
deal(D)/
munte(M)</t>
  </si>
  <si>
    <t>UP I A</t>
  </si>
  <si>
    <t>UP I B</t>
  </si>
  <si>
    <t>UP I B
-</t>
  </si>
  <si>
    <t>2A</t>
  </si>
  <si>
    <t>21B</t>
  </si>
  <si>
    <t>3C</t>
  </si>
  <si>
    <t>3,5</t>
  </si>
  <si>
    <t>7,5</t>
  </si>
  <si>
    <t>2,5</t>
  </si>
  <si>
    <t>1,5
2.5</t>
  </si>
  <si>
    <t>8311
-</t>
  </si>
  <si>
    <t>M</t>
  </si>
  <si>
    <t>D</t>
  </si>
  <si>
    <t>C
-</t>
  </si>
  <si>
    <t>3,75</t>
  </si>
  <si>
    <t>3,75
-</t>
  </si>
  <si>
    <t>2031
NA</t>
  </si>
  <si>
    <t>1,5
0</t>
  </si>
  <si>
    <t>A</t>
  </si>
  <si>
    <t>P</t>
  </si>
  <si>
    <t>A
P</t>
  </si>
  <si>
    <t xml:space="preserve">
xxxxx</t>
  </si>
  <si>
    <t xml:space="preserve">
2025</t>
  </si>
  <si>
    <t>DA</t>
  </si>
  <si>
    <t>NU</t>
  </si>
  <si>
    <t>NU
NU</t>
  </si>
  <si>
    <t>TOTAL1 (ha)</t>
  </si>
  <si>
    <t>TOTAL3 (ha)</t>
  </si>
  <si>
    <t>TOTAL2 (ha)</t>
  </si>
  <si>
    <t>12,5</t>
  </si>
  <si>
    <t xml:space="preserve">Observații: </t>
  </si>
  <si>
    <r>
      <t xml:space="preserve">Tabelul nr.1 se va completa numai cu informații:
•	pentru care există amenajamente silvice în vigoare și care se regăsesc în SUMAL (Amenajamentul se consideră a fi în vigoare începând cu data avizării procesului-verbal al conferinței a II-a de amenajare) și, 
•	identificabile în contracte de administrare/prestări servicii, în cazul suprafețelor mai mici de 10 ha pentru care nu este obligatorie întocmirea de amenajamente silvice și nu se află incluse în amenajamente silvice în vigoare care se regăsesc în SUMAL.   
Nu se completează informații despre suprafețele mai mari de 10 ha care, deși ar trebui să fie incluse în amenajamente silvice, nu fac parte dintr-un amenajament silvic în vigoare sau, în cazul în care sunt incluse într-un amenajament silvic în vigoare,  nu se regăsesc în SUMAL. 
De asemenea, în cazul suprafețelor mai mici de 10 ha, pentru care nu este obligatorie întocmirea de amenajamente silvice, nu sunt luate în considerare suprafețele care nu se regăsesc în contracte de administrare/prestări servicii sau în amenajamente silvice în vigoare care sunt incluse în SUMAL.
Pentru suprafețele pentru care există amenajamente silvice în vigoare și care se regăsesc în SUMAL (Amenajamentul se consideră a fi în vigoare începând cu data avizării procesului-verbal al conferinței a II-a de amenajare), informațiile din coloanele 1, 2, 3 și 4 se completează din descrierea parcelară a fiecărei u.a. 
Pentru suprafețele mai mici de 10 ha pentru care nu este obligatorie întocmirea de amenajamente silvice și nu se află incluse în amenajamente silvice în vigoare care se regăsesc în SUMAL se completează coloana 3 cu informații  din contractele de administrare/prestări servicii și, în cazul în care sunt incluse în contractele de administrare/prestări servicii, coloana 2. 
În coloana 1 se va introduce o prescurtare a denumirii UP (Ex. UP I A, UP I B). La rubrica ”Observații” se va completa denumirea completă a fiecărei UP introduse în tabel.  
</t>
    </r>
    <r>
      <rPr>
        <i/>
        <sz val="9"/>
        <color theme="1"/>
        <rFont val="Calibri"/>
        <family val="2"/>
        <scheme val="minor"/>
      </rPr>
      <t>Pentru Informațiile provenite din SUMAL solicitantul nu va furniza documente suport pentru verificarea informațiilor introduse. Pentru informațiile provenite din contracte de administrare/prestări servicii beneficiarul va furniza în format pdf. copii ale acestora.</t>
    </r>
    <r>
      <rPr>
        <sz val="11"/>
        <color theme="1"/>
        <rFont val="Calibri"/>
        <family val="2"/>
        <scheme val="minor"/>
      </rPr>
      <t xml:space="preserve">    </t>
    </r>
  </si>
  <si>
    <t>Pentru completarea Coloanei 4 se utilizează tipurile de stațiuni (TS) prezentate în tabelul următor:</t>
  </si>
  <si>
    <t>NA</t>
  </si>
  <si>
    <t>În cazul în care se identifica in amenajament 8311 ”Deluros de cvercete....” se introduce valoarea 83111 pentru diferențiere de 8311 din zona de Câmpie,
În cazul în care se identifica in amenajament 8322 ”Deluros de cvercete....” se introduce valoarea 83221 pentru diferențiere de 8322 din zona de Câmpie,
În cazul în care se identifica in amenajament 8450 ”Deluros de cvercete....” se introduce valoarea 84501 pentru diferențiere de 8450 din zona de Câmpie
În cazul în care se identifica in amenajament 0110 se introduce valoarea 110.</t>
  </si>
  <si>
    <r>
      <t xml:space="preserve">Completarea coloanei 5 se realizează prin corelarea valorii din coloana 4 (Tipul de stațiune) cu zona altitudinală (ZA – C (câmpie)/D(deal)/M(munte)) din tabelul de mai sus. 
</t>
    </r>
    <r>
      <rPr>
        <sz val="9"/>
        <color theme="1"/>
        <rFont val="Calibri"/>
        <family val="2"/>
        <scheme val="minor"/>
      </rPr>
      <t xml:space="preserve">În cazul în care un ocol silvic administrează/prestează servicii pentru suprafețe situate în mai mult de o zonă altitudinală, încadrarea acestuia într-una din zonele de Câmpie/Deal/Munte se realizează după cum urmează: </t>
    </r>
  </si>
  <si>
    <t>Pasul 1 (Completarea coloanei 6):
- suprafața din zona de câmpie (coloana 3, pentru care valoarea din coloana 5 este C) se înmulțește cu 2,5
- suprafața din zona de deal (coloana 3, pentru care valoarea din coloana 5 este D) se înmulțește cu 1,5, 
- suprafața din zona de munte – se menține valoarea din coloana 3.
Pasul 2: Se compară valorile suprafețelor totale pentru zonelor altitudinale din componența ocolului, ținând cont că pentru comparație, suprafețele pentru zonele de câmpie și deal sunt cele determinate la pasul 1. Ocolul silvic se va încadra în zona cu suprafața cea mai mare, conform comparației efectuată la acest pas.</t>
  </si>
  <si>
    <t xml:space="preserve">Informațiile din coloana 7 se completează de către ocolul silvic. Ultimul an de aplicare poate fi oricare an începând cu anul 2024 sau NA. NA se completează numai pentru suprafețele mai mici de 10 ha pentru care nu este obligatorie întocmirea de amenajamente silvice și nu se află incluse în amenajamente silvice în vigoare.
Informațiile din coloana 8 se completează: A pentru contracte de administrare și P pentru contracte de prestări servicii. </t>
  </si>
  <si>
    <t xml:space="preserve">Informațiile din coloanele 9 și 10 se completează de către ocolul silvic din contractul de administrare/prestări servicii numai pentru suprafețele pentru care nu există amenajamente silvice în vigoare (incluse in SUMAL). Ultimul an de contract poate fi oricare an începând cu anul 2024 sau NA. NA se completează numai pentru contractele pe perioadă nedeterminată. Beneficiarul va furniza copii ale contractelor de administrare/prestări servicii în format pdf. .    </t>
  </si>
  <si>
    <r>
      <t xml:space="preserve">Informațiile din coloana 11 se completează de către ocolul silvic, în baza documentelor de proprietate/amenajamentului silvic (titlu de proprietate, proces verbal punere în posesie, contract vânzare cumpărare etc.), respectiv DA, în cazul în care suprafața se află în proprietatea formelor asociative de proprietate asupra terenurilor cu vegetație forestieră prevăzute la art. 26 alin. (1) din Legea nr. 1/2000, cu modificările și completările ulterioare, și NU, în caz contrar.
</t>
    </r>
    <r>
      <rPr>
        <i/>
        <sz val="9"/>
        <color theme="1"/>
        <rFont val="Calibri"/>
        <family val="2"/>
        <scheme val="minor"/>
      </rPr>
      <t>Beneficiarul va furniza în format pdf.  documentele de proprietate din care să rezulte informația referitoare la u.a. aflate în proprietatea formelor asociative (Nu se vor furniza documente pentru celelalte categorii de proprietate).</t>
    </r>
  </si>
  <si>
    <t xml:space="preserve">- valori coloana 6 pentru care valoarea coloanei 5 este (C)			
- valori coloana 7bis			
- valoare coloana 3 pentru care valoarea coloanei 8 este (A)			
- valori coloana 3 pentru care valoarea coloanei 11 este (DA)	</t>
  </si>
  <si>
    <t>TOTAL 1:(Sumă)            - valori coloana 3</t>
  </si>
  <si>
    <t>TOTAL 2:(Sumă)            - valori coloana 6 pentru care valoarea coloanei 5 este (D)</t>
  </si>
  <si>
    <t xml:space="preserve">- valoare coloana 3 pentru care valoarea coloanei 8 este (P)			
- valori coloana 3 pentru care valoarea coloanei 11 este (NU)	</t>
  </si>
  <si>
    <t>TOTAL 3:(Sumă)            - valori coloana 6 pentru care valoarea coloanei 5 este (M)</t>
  </si>
  <si>
    <t xml:space="preserve"> - valori rânduri Total1 și Total2 ale coloanei 8</t>
  </si>
  <si>
    <t>Tabel nr. 2 Informații furnizate de solicitanții Operatori Economici – Capacitate atestată</t>
  </si>
  <si>
    <t>Perioadă</t>
  </si>
  <si>
    <t>Luni</t>
  </si>
  <si>
    <t>ian</t>
  </si>
  <si>
    <t>feb</t>
  </si>
  <si>
    <t>mar</t>
  </si>
  <si>
    <t>apr</t>
  </si>
  <si>
    <t>mai</t>
  </si>
  <si>
    <t>iun</t>
  </si>
  <si>
    <t>iul</t>
  </si>
  <si>
    <t>aug</t>
  </si>
  <si>
    <t>sept</t>
  </si>
  <si>
    <t>oct</t>
  </si>
  <si>
    <t>noi</t>
  </si>
  <si>
    <t>dec</t>
  </si>
  <si>
    <t>TOTAL</t>
  </si>
  <si>
    <t>fixă</t>
  </si>
  <si>
    <t>variabilă</t>
  </si>
  <si>
    <t>1.01.2024 - 31.12.2024</t>
  </si>
  <si>
    <t>sau</t>
  </si>
  <si>
    <t>15.09.2023 - 14.09.2024</t>
  </si>
  <si>
    <t>25.03.2024-
24.03.2025</t>
  </si>
  <si>
    <t>sep</t>
  </si>
  <si>
    <t>nov</t>
  </si>
  <si>
    <t xml:space="preserve">Se completează cu informații din certificatele de atestare conform precizărilor de la cap. 2.2.1 din ghidul solicitantului. </t>
  </si>
  <si>
    <t>Tabel nr. 3 Informații furnizate de solicitanții Operatori Economici – Volum exploatat (Valorile din tabel sunt pentru exemplificare)</t>
  </si>
  <si>
    <t>APV nr.</t>
  </si>
  <si>
    <t>Județ</t>
  </si>
  <si>
    <t>Volum exploatat</t>
  </si>
  <si>
    <t>din care, volum din zona de munte</t>
  </si>
  <si>
    <t>Se completează cu informații din SUMAL.
Coloana 3 – Pentru județele din zona de munte, se va completa cu denumirea abreviată a județului din tabelul de mai jos. Pentru celelalte județe se va completa NA.
Coloana 4 – Se vor completa pentru perioada urmărită volumele exploatate din APV autorizate, respectiv volumul exploatat transportat aferent APV.
Coloana 5 – Se va completa volumul exploatat în județele de munte din volumul precizat în coloana 4.</t>
  </si>
  <si>
    <t>Alba</t>
  </si>
  <si>
    <t>Arges</t>
  </si>
  <si>
    <t>Bacau</t>
  </si>
  <si>
    <t>Bistrita-Nasaud</t>
  </si>
  <si>
    <t>Brasov</t>
  </si>
  <si>
    <t>Buzau</t>
  </si>
  <si>
    <t>Caras-Severin</t>
  </si>
  <si>
    <t>Cluj</t>
  </si>
  <si>
    <t>Covasna</t>
  </si>
  <si>
    <t>Gorj</t>
  </si>
  <si>
    <t>AB</t>
  </si>
  <si>
    <t>AG</t>
  </si>
  <si>
    <t>BC</t>
  </si>
  <si>
    <t>BN</t>
  </si>
  <si>
    <t>BV</t>
  </si>
  <si>
    <t>BZ</t>
  </si>
  <si>
    <t>CS</t>
  </si>
  <si>
    <t>CJ</t>
  </si>
  <si>
    <t>CV</t>
  </si>
  <si>
    <t>GJ</t>
  </si>
  <si>
    <t>Harghita</t>
  </si>
  <si>
    <t>Hunedoara</t>
  </si>
  <si>
    <t>Maramures</t>
  </si>
  <si>
    <t>Mures</t>
  </si>
  <si>
    <t>Neamt</t>
  </si>
  <si>
    <t>Prahova</t>
  </si>
  <si>
    <t>Sibiu</t>
  </si>
  <si>
    <t>Suceava</t>
  </si>
  <si>
    <t>Valcea</t>
  </si>
  <si>
    <t>Vrancea</t>
  </si>
  <si>
    <t>HR</t>
  </si>
  <si>
    <t>HD</t>
  </si>
  <si>
    <t>MM</t>
  </si>
  <si>
    <t>MS</t>
  </si>
  <si>
    <t>NT</t>
  </si>
  <si>
    <t>PH</t>
  </si>
  <si>
    <t>SB</t>
  </si>
  <si>
    <t>SV</t>
  </si>
  <si>
    <t>VL</t>
  </si>
  <si>
    <t>VN</t>
  </si>
  <si>
    <t xml:space="preserve"> puncte</t>
  </si>
  <si>
    <t>Atestat nr. 1651 din 19.08.2021 - valabil pana la 31.08.2023 . Volum 37.000 mc</t>
  </si>
  <si>
    <t>Atestat nr. 1780 din 24.08.2023 - valabil pana la 31.08.2025 . Volum 36.000 mc</t>
  </si>
  <si>
    <t>2300157406460</t>
  </si>
  <si>
    <t>2400129800390</t>
  </si>
  <si>
    <t>2400129800010</t>
  </si>
  <si>
    <t>2300157404670</t>
  </si>
  <si>
    <t>2400157401630</t>
  </si>
  <si>
    <t>2400129800050</t>
  </si>
  <si>
    <t>2300157405460</t>
  </si>
  <si>
    <t>2300157406030</t>
  </si>
  <si>
    <t>2400129800020</t>
  </si>
  <si>
    <t>2400129800490</t>
  </si>
  <si>
    <t>2400157401560</t>
  </si>
  <si>
    <t>2300265800590</t>
  </si>
  <si>
    <t>2400129800130</t>
  </si>
  <si>
    <t>2400157402760</t>
  </si>
  <si>
    <t>2400157401570</t>
  </si>
  <si>
    <t>2400129800250</t>
  </si>
  <si>
    <t>2300141701740</t>
  </si>
  <si>
    <t>2300141701500</t>
  </si>
  <si>
    <t>2400129800620</t>
  </si>
  <si>
    <t>2400157400620</t>
  </si>
  <si>
    <t>2400150300690</t>
  </si>
  <si>
    <t>2400157404990</t>
  </si>
  <si>
    <t>2400157403680</t>
  </si>
  <si>
    <t>2400157403690</t>
  </si>
  <si>
    <t>2400157402380</t>
  </si>
  <si>
    <t>2400129800450</t>
  </si>
  <si>
    <t>2400150300670</t>
  </si>
  <si>
    <t>2400157402060</t>
  </si>
  <si>
    <t>2400129800460</t>
  </si>
  <si>
    <t>2300141702030</t>
  </si>
  <si>
    <t>2400157403550</t>
  </si>
  <si>
    <t>2400157403360</t>
  </si>
  <si>
    <t>2400157400300</t>
  </si>
  <si>
    <t>2400157401910</t>
  </si>
  <si>
    <t>2400157403560</t>
  </si>
  <si>
    <t>2400157403740</t>
  </si>
  <si>
    <t>2400129800420</t>
  </si>
  <si>
    <t>2400157403440</t>
  </si>
  <si>
    <t>2300126502900</t>
  </si>
  <si>
    <t>2400157402740</t>
  </si>
  <si>
    <t>2400157404880</t>
  </si>
  <si>
    <t>2400157403350</t>
  </si>
  <si>
    <t>2300150301690</t>
  </si>
  <si>
    <t>2400141700060</t>
  </si>
  <si>
    <t>2400157406350</t>
  </si>
  <si>
    <t>2400129800470</t>
  </si>
  <si>
    <t>2400141701540</t>
  </si>
  <si>
    <t>2300157405110</t>
  </si>
  <si>
    <t>2400129800150</t>
  </si>
  <si>
    <t>2300150302390</t>
  </si>
  <si>
    <t>2300157406160</t>
  </si>
  <si>
    <t>2400129800770</t>
  </si>
  <si>
    <t>2400129800590</t>
  </si>
  <si>
    <t>2400157403370</t>
  </si>
  <si>
    <t>2400129800790</t>
  </si>
  <si>
    <t>2300126502890</t>
  </si>
  <si>
    <t>2400157403730</t>
  </si>
  <si>
    <t>2400157402680</t>
  </si>
  <si>
    <t>2100129802710</t>
  </si>
  <si>
    <t>2300157406300</t>
  </si>
  <si>
    <t>2400157406850</t>
  </si>
  <si>
    <t>2400129800430</t>
  </si>
  <si>
    <t>2300157404940</t>
  </si>
  <si>
    <t>2400157403120</t>
  </si>
  <si>
    <t>2300265800650</t>
  </si>
  <si>
    <t>2300157406280</t>
  </si>
  <si>
    <t>2300157406170</t>
  </si>
  <si>
    <t>2400141700720</t>
  </si>
  <si>
    <t>2300129800980</t>
  </si>
  <si>
    <t>2400157406550</t>
  </si>
  <si>
    <t>2200157403540</t>
  </si>
  <si>
    <t>2300157405210</t>
  </si>
  <si>
    <t>2400157406820</t>
  </si>
  <si>
    <t>2100157402850</t>
  </si>
  <si>
    <t>2400157405910</t>
  </si>
  <si>
    <t>2400157402040</t>
  </si>
  <si>
    <t>2300157405990</t>
  </si>
  <si>
    <t>2400157401520</t>
  </si>
  <si>
    <t>2400157402420</t>
  </si>
  <si>
    <t>2200157403560</t>
  </si>
  <si>
    <t>2400129801170</t>
  </si>
  <si>
    <t>2400157405010</t>
  </si>
  <si>
    <t>2400157402160</t>
  </si>
  <si>
    <t>2300157402040</t>
  </si>
  <si>
    <t>2300157405880</t>
  </si>
  <si>
    <t>2400157401780</t>
  </si>
  <si>
    <t>2300157405220</t>
  </si>
  <si>
    <t>2300157402370</t>
  </si>
  <si>
    <t>2300265800820</t>
  </si>
  <si>
    <t>2400141700740</t>
  </si>
  <si>
    <t>2400129800780</t>
  </si>
  <si>
    <t>2100129802700</t>
  </si>
  <si>
    <t>2400129800300</t>
  </si>
  <si>
    <t>2200157403550</t>
  </si>
  <si>
    <t>2200157405250</t>
  </si>
  <si>
    <t>2400157401220</t>
  </si>
  <si>
    <t>2300157403680</t>
  </si>
  <si>
    <t>2400157403130</t>
  </si>
  <si>
    <t>2300129802180</t>
  </si>
  <si>
    <t>2400157401230</t>
  </si>
  <si>
    <t>2300129801810</t>
  </si>
  <si>
    <t>2100129802720</t>
  </si>
  <si>
    <t>2300129800970</t>
  </si>
  <si>
    <t>2100129802360</t>
  </si>
  <si>
    <t>2300157406010</t>
  </si>
  <si>
    <t>2400157404210</t>
  </si>
  <si>
    <t>2200157405680</t>
  </si>
  <si>
    <t>2400157401790</t>
  </si>
  <si>
    <t>2400129800540</t>
  </si>
  <si>
    <t>2400129800410</t>
  </si>
  <si>
    <t>2400150302400</t>
  </si>
  <si>
    <t>2200129800280</t>
  </si>
  <si>
    <t>2300157403020</t>
  </si>
  <si>
    <t>2400129800610</t>
  </si>
  <si>
    <t>2100157403340</t>
  </si>
  <si>
    <t>2400129800160</t>
  </si>
  <si>
    <t>2200157405690</t>
  </si>
  <si>
    <t>2300157405960</t>
  </si>
  <si>
    <t>2300129801390</t>
  </si>
  <si>
    <t>2300157405970</t>
  </si>
  <si>
    <t>2100157403850</t>
  </si>
  <si>
    <t>2400150301460</t>
  </si>
  <si>
    <t>2300129801590</t>
  </si>
  <si>
    <t>2300157404930</t>
  </si>
  <si>
    <t>2100129802390</t>
  </si>
  <si>
    <t>2400129800440</t>
  </si>
  <si>
    <t>2400129801700</t>
  </si>
  <si>
    <t>2400150301110</t>
  </si>
  <si>
    <t>2300157405230</t>
  </si>
  <si>
    <t>2300157403040</t>
  </si>
  <si>
    <t>2300129801600</t>
  </si>
  <si>
    <t>2300129800990</t>
  </si>
  <si>
    <t>2300129801580</t>
  </si>
  <si>
    <t>2400150300490</t>
  </si>
  <si>
    <t>2400157405950</t>
  </si>
  <si>
    <t>2400157401530</t>
  </si>
  <si>
    <t>2300129801760</t>
  </si>
  <si>
    <t>2400150301100</t>
  </si>
  <si>
    <t>2400157402230</t>
  </si>
  <si>
    <t>2300157403050</t>
  </si>
  <si>
    <t>2300157403030</t>
  </si>
  <si>
    <t>2300150302880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</si>
</sst>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
      <i/>
      <sz val="9"/>
      <color theme="1"/>
      <name val="Calibri"/>
      <family val="2"/>
      <scheme val="minor"/>
    </font>
    <font>
      <sz val="9"/>
      <color theme="1"/>
      <name val="Calibri"/>
      <family val="2"/>
      <scheme val="minor"/>
    </font>
    <font>
      <sz val="11"/>
      <color rgb="FF000000"/>
      <name val="Calibri"/>
      <family val="2"/>
      <scheme val="minor"/>
    </font>
    <font>
      <sz val="11"/>
      <color theme="1"/>
      <name val="Calibri"/>
      <family val="2"/>
      <scheme val="minor"/>
    </font>
    <font>
      <b/>
      <sz val="11"/>
      <color rgb="FFC00000"/>
      <name val="Calibri"/>
      <family val="2"/>
      <scheme val="minor"/>
    </font>
    <font>
      <sz val="1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1"/>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8" fillId="0" borderId="0"/>
  </cellStyleXfs>
  <cellXfs count="74">
    <xf numFmtId="0" fontId="0" fillId="0" borderId="0" xfId="0"/>
    <xf numFmtId="0" fontId="1" fillId="0" borderId="0" xfId="0" applyFont="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xf numFmtId="0" fontId="3" fillId="0" borderId="1"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left" wrapText="1"/>
    </xf>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left"/>
    </xf>
    <xf numFmtId="0" fontId="0" fillId="3" borderId="1" xfId="0" applyFill="1" applyBorder="1"/>
    <xf numFmtId="0" fontId="0" fillId="0" borderId="1" xfId="0" applyBorder="1" applyAlignment="1">
      <alignment horizontal="left"/>
    </xf>
    <xf numFmtId="0" fontId="0" fillId="0" borderId="2"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10" xfId="0" applyBorder="1"/>
    <xf numFmtId="0" fontId="0" fillId="0" borderId="11" xfId="0" applyBorder="1"/>
    <xf numFmtId="0" fontId="0" fillId="0" borderId="12" xfId="0" applyBorder="1"/>
    <xf numFmtId="0" fontId="1" fillId="0" borderId="0" xfId="0" applyFont="1" applyAlignment="1">
      <alignment horizontal="left"/>
    </xf>
    <xf numFmtId="0" fontId="0" fillId="0" borderId="9" xfId="0" applyBorder="1"/>
    <xf numFmtId="0" fontId="0" fillId="0" borderId="14" xfId="0" applyBorder="1"/>
    <xf numFmtId="0" fontId="4" fillId="0" borderId="1" xfId="0" applyFont="1" applyBorder="1" applyAlignment="1">
      <alignment horizontal="center" vertical="center"/>
    </xf>
    <xf numFmtId="0" fontId="0" fillId="0" borderId="13" xfId="0" applyBorder="1"/>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vertical="center"/>
    </xf>
    <xf numFmtId="0" fontId="1" fillId="0" borderId="9" xfId="0" applyFont="1" applyBorder="1"/>
    <xf numFmtId="0" fontId="0" fillId="0" borderId="9" xfId="0" applyBorder="1" applyAlignment="1">
      <alignment horizontal="center" vertical="center"/>
    </xf>
    <xf numFmtId="0" fontId="0" fillId="0" borderId="1" xfId="0" applyBorder="1" applyAlignment="1">
      <alignment vertical="center" wrapText="1"/>
    </xf>
    <xf numFmtId="0" fontId="0" fillId="0" borderId="9" xfId="0" applyBorder="1" applyAlignment="1">
      <alignment vertical="center"/>
    </xf>
    <xf numFmtId="0" fontId="0" fillId="0" borderId="1" xfId="0" applyBorder="1" applyAlignment="1">
      <alignment vertical="center"/>
    </xf>
    <xf numFmtId="0" fontId="0" fillId="0" borderId="0" xfId="0" applyAlignment="1">
      <alignment vertical="center"/>
    </xf>
    <xf numFmtId="0" fontId="9" fillId="0" borderId="0" xfId="0" applyFont="1"/>
    <xf numFmtId="10" fontId="9" fillId="0" borderId="0" xfId="0" applyNumberFormat="1" applyFont="1" applyAlignment="1">
      <alignment vertical="center"/>
    </xf>
    <xf numFmtId="4" fontId="1" fillId="0" borderId="0" xfId="0" applyNumberFormat="1" applyFont="1" applyAlignment="1">
      <alignment vertical="center"/>
    </xf>
    <xf numFmtId="2" fontId="0" fillId="0" borderId="13" xfId="0" applyNumberFormat="1" applyBorder="1" applyAlignment="1">
      <alignment vertical="center"/>
    </xf>
    <xf numFmtId="4" fontId="0" fillId="0" borderId="1" xfId="0" applyNumberFormat="1" applyBorder="1" applyAlignment="1">
      <alignment vertical="center"/>
    </xf>
    <xf numFmtId="4" fontId="0" fillId="0" borderId="3" xfId="0" applyNumberFormat="1" applyBorder="1"/>
    <xf numFmtId="4" fontId="8" fillId="0" borderId="1" xfId="1" applyNumberFormat="1" applyBorder="1"/>
    <xf numFmtId="4" fontId="1" fillId="0" borderId="9" xfId="0" applyNumberFormat="1" applyFont="1" applyBorder="1" applyAlignment="1">
      <alignment horizontal="center" vertical="center"/>
    </xf>
    <xf numFmtId="0" fontId="10" fillId="0" borderId="9" xfId="0" applyFont="1" applyBorder="1" applyAlignment="1">
      <alignment vertical="center"/>
    </xf>
    <xf numFmtId="0" fontId="0" fillId="0" borderId="3" xfId="0" applyBorder="1" applyAlignment="1">
      <alignment vertical="center"/>
    </xf>
    <xf numFmtId="0" fontId="9" fillId="0" borderId="0" xfId="0" applyFont="1" applyAlignment="1">
      <alignment vertical="center"/>
    </xf>
    <xf numFmtId="2" fontId="10" fillId="0" borderId="13" xfId="0" applyNumberFormat="1" applyFont="1" applyBorder="1" applyAlignment="1">
      <alignment vertical="center"/>
    </xf>
    <xf numFmtId="0" fontId="0" fillId="4" borderId="0" xfId="0" applyFill="1" applyAlignment="1">
      <alignment vertical="center"/>
    </xf>
    <xf numFmtId="0" fontId="9" fillId="4" borderId="0" xfId="0" applyFont="1" applyFill="1" applyAlignment="1">
      <alignment vertical="center"/>
    </xf>
    <xf numFmtId="0" fontId="0" fillId="0" borderId="1" xfId="0" applyBorder="1" applyAlignment="1">
      <alignment horizontal="left" wrapText="1"/>
    </xf>
    <xf numFmtId="0" fontId="0" fillId="0" borderId="1" xfId="0" applyBorder="1" applyAlignment="1">
      <alignment horizontal="left"/>
    </xf>
    <xf numFmtId="49" fontId="0" fillId="0" borderId="0" xfId="0" applyNumberFormat="1" applyAlignment="1">
      <alignment horizontal="left" wrapText="1"/>
    </xf>
    <xf numFmtId="49" fontId="0" fillId="0" borderId="0" xfId="0" applyNumberFormat="1" applyAlignment="1">
      <alignment horizontal="left"/>
    </xf>
    <xf numFmtId="49" fontId="0" fillId="0" borderId="6" xfId="0" applyNumberFormat="1" applyBorder="1" applyAlignment="1">
      <alignment horizontal="left"/>
    </xf>
    <xf numFmtId="0" fontId="0" fillId="0" borderId="10" xfId="0" applyBorder="1" applyAlignment="1">
      <alignment horizontal="left"/>
    </xf>
    <xf numFmtId="0" fontId="0" fillId="0" borderId="0" xfId="0" applyAlignment="1">
      <alignment horizontal="left"/>
    </xf>
    <xf numFmtId="0" fontId="0" fillId="0" borderId="6" xfId="0" applyBorder="1" applyAlignment="1">
      <alignment horizontal="left"/>
    </xf>
    <xf numFmtId="0" fontId="0" fillId="0" borderId="12" xfId="0" applyBorder="1" applyAlignment="1">
      <alignment horizontal="left"/>
    </xf>
    <xf numFmtId="0" fontId="0" fillId="0" borderId="7" xfId="0" applyBorder="1" applyAlignment="1">
      <alignment horizontal="left"/>
    </xf>
    <xf numFmtId="0" fontId="1" fillId="0" borderId="0" xfId="0" applyFont="1" applyAlignment="1">
      <alignment horizontal="left"/>
    </xf>
    <xf numFmtId="0" fontId="0" fillId="0" borderId="4" xfId="0"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0" fillId="0" borderId="8" xfId="0" applyBorder="1" applyAlignment="1">
      <alignment horizontal="left"/>
    </xf>
    <xf numFmtId="0" fontId="0" fillId="0" borderId="5" xfId="0" applyBorder="1" applyAlignment="1">
      <alignment horizontal="left"/>
    </xf>
    <xf numFmtId="0" fontId="0" fillId="0" borderId="1" xfId="0"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cellXfs>
  <cellStyles count="2">
    <cellStyle name="Normal" xfId="0" builtinId="0"/>
    <cellStyle name="Normal 2" xfId="1" xr:uid="{DD4CB701-8E55-4C48-96CC-2260267CE8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7620</xdr:rowOff>
    </xdr:from>
    <xdr:to>
      <xdr:col>6</xdr:col>
      <xdr:colOff>264221</xdr:colOff>
      <xdr:row>42</xdr:row>
      <xdr:rowOff>40414</xdr:rowOff>
    </xdr:to>
    <xdr:pic>
      <xdr:nvPicPr>
        <xdr:cNvPr id="2" name="Picture 1">
          <a:extLst>
            <a:ext uri="{FF2B5EF4-FFF2-40B4-BE49-F238E27FC236}">
              <a16:creationId xmlns:a16="http://schemas.microsoft.com/office/drawing/2014/main" id="{A3BF9B97-BA71-463C-4FA8-0C7D05AF1F01}"/>
            </a:ext>
          </a:extLst>
        </xdr:cNvPr>
        <xdr:cNvPicPr>
          <a:picLocks noChangeAspect="1"/>
        </xdr:cNvPicPr>
      </xdr:nvPicPr>
      <xdr:blipFill>
        <a:blip xmlns:r="http://schemas.openxmlformats.org/officeDocument/2006/relationships" r:embed="rId1"/>
        <a:stretch>
          <a:fillRect/>
        </a:stretch>
      </xdr:blipFill>
      <xdr:spPr>
        <a:xfrm>
          <a:off x="609600" y="8397240"/>
          <a:ext cx="4732020" cy="44291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Q218"/>
  <sheetViews>
    <sheetView tabSelected="1" topLeftCell="A62" zoomScaleNormal="100" workbookViewId="0">
      <selection activeCell="F70" sqref="F70:F212"/>
    </sheetView>
  </sheetViews>
  <sheetFormatPr defaultColWidth="8.77734375" defaultRowHeight="14.4" x14ac:dyDescent="0.3"/>
  <cols>
    <col min="2" max="2" width="9.44140625" customWidth="1"/>
    <col min="3" max="3" width="19.33203125" customWidth="1"/>
    <col min="4" max="4" width="11.44140625" customWidth="1"/>
    <col min="5" max="5" width="13.33203125" customWidth="1"/>
    <col min="6" max="6" width="11.77734375" customWidth="1"/>
    <col min="7" max="7" width="16.33203125" customWidth="1"/>
    <col min="8" max="8" width="12.77734375" customWidth="1"/>
    <col min="9" max="9" width="13" customWidth="1"/>
    <col min="10" max="10" width="12.21875" customWidth="1"/>
    <col min="11" max="11" width="10" customWidth="1"/>
    <col min="12" max="12" width="10.6640625" customWidth="1"/>
  </cols>
  <sheetData>
    <row r="1" spans="2:16" x14ac:dyDescent="0.3">
      <c r="M1" s="1" t="s">
        <v>0</v>
      </c>
    </row>
    <row r="3" spans="2:16" x14ac:dyDescent="0.3">
      <c r="B3" s="61" t="s">
        <v>1</v>
      </c>
      <c r="C3" s="61"/>
      <c r="D3" s="61"/>
      <c r="E3" s="61"/>
      <c r="F3" s="61"/>
      <c r="G3" s="61"/>
      <c r="H3" s="61"/>
      <c r="I3" s="61"/>
      <c r="J3" s="61"/>
      <c r="K3" s="61"/>
      <c r="L3" s="61"/>
      <c r="M3" s="61"/>
      <c r="N3" s="61"/>
      <c r="O3" s="61"/>
      <c r="P3" s="61"/>
    </row>
    <row r="5" spans="2:16" ht="129.6" x14ac:dyDescent="0.3">
      <c r="B5" s="6" t="s">
        <v>2</v>
      </c>
      <c r="C5" s="7" t="s">
        <v>3</v>
      </c>
      <c r="D5" s="6" t="s">
        <v>4</v>
      </c>
      <c r="E5" s="6" t="s">
        <v>5</v>
      </c>
      <c r="F5" s="6" t="s">
        <v>13</v>
      </c>
      <c r="G5" s="6" t="s">
        <v>6</v>
      </c>
      <c r="H5" s="6" t="s">
        <v>7</v>
      </c>
      <c r="I5" s="6" t="s">
        <v>8</v>
      </c>
      <c r="J5" s="6" t="s">
        <v>9</v>
      </c>
      <c r="K5" s="6" t="s">
        <v>10</v>
      </c>
      <c r="L5" s="6" t="s">
        <v>11</v>
      </c>
      <c r="M5" s="6" t="s">
        <v>12</v>
      </c>
    </row>
    <row r="6" spans="2:16" x14ac:dyDescent="0.3">
      <c r="B6" s="9">
        <v>1</v>
      </c>
      <c r="C6" s="9">
        <v>2</v>
      </c>
      <c r="D6" s="9">
        <v>3</v>
      </c>
      <c r="E6" s="9">
        <v>4</v>
      </c>
      <c r="F6" s="9">
        <v>5</v>
      </c>
      <c r="G6" s="9"/>
      <c r="H6" s="9">
        <v>6</v>
      </c>
      <c r="I6" s="9">
        <v>7</v>
      </c>
      <c r="J6" s="9">
        <v>8</v>
      </c>
      <c r="K6" s="9">
        <v>9</v>
      </c>
      <c r="L6" s="9">
        <v>10</v>
      </c>
      <c r="M6" s="9">
        <v>11</v>
      </c>
    </row>
    <row r="7" spans="2:16" x14ac:dyDescent="0.3">
      <c r="B7" s="5" t="s">
        <v>14</v>
      </c>
      <c r="C7" s="5" t="s">
        <v>17</v>
      </c>
      <c r="D7" s="5" t="s">
        <v>20</v>
      </c>
      <c r="E7" s="10">
        <v>110</v>
      </c>
      <c r="F7" s="12" t="s">
        <v>25</v>
      </c>
      <c r="G7" s="12" t="s">
        <v>20</v>
      </c>
      <c r="H7" s="10">
        <v>2025</v>
      </c>
      <c r="I7" s="12" t="s">
        <v>20</v>
      </c>
      <c r="J7" s="5" t="s">
        <v>32</v>
      </c>
      <c r="K7" s="5"/>
      <c r="L7" s="5"/>
      <c r="M7" s="5" t="s">
        <v>37</v>
      </c>
    </row>
    <row r="8" spans="2:16" x14ac:dyDescent="0.3">
      <c r="B8" s="5" t="s">
        <v>14</v>
      </c>
      <c r="C8" s="10">
        <v>20</v>
      </c>
      <c r="D8" s="5" t="s">
        <v>21</v>
      </c>
      <c r="E8" s="10">
        <v>1330</v>
      </c>
      <c r="F8" s="12" t="s">
        <v>25</v>
      </c>
      <c r="G8" s="12" t="s">
        <v>21</v>
      </c>
      <c r="H8" s="10">
        <v>2028</v>
      </c>
      <c r="I8" s="12" t="s">
        <v>21</v>
      </c>
      <c r="J8" s="5" t="s">
        <v>33</v>
      </c>
      <c r="K8" s="5"/>
      <c r="L8" s="5"/>
      <c r="M8" s="5" t="s">
        <v>38</v>
      </c>
    </row>
    <row r="9" spans="2:16" x14ac:dyDescent="0.3">
      <c r="B9" s="5" t="s">
        <v>15</v>
      </c>
      <c r="C9" s="5" t="s">
        <v>18</v>
      </c>
      <c r="D9" s="5" t="s">
        <v>22</v>
      </c>
      <c r="E9" s="10">
        <v>83111</v>
      </c>
      <c r="F9" s="12" t="s">
        <v>26</v>
      </c>
      <c r="G9" s="12" t="s">
        <v>28</v>
      </c>
      <c r="H9" s="10">
        <v>2032</v>
      </c>
      <c r="I9" s="12" t="s">
        <v>22</v>
      </c>
      <c r="J9" s="5" t="s">
        <v>33</v>
      </c>
      <c r="K9" s="5"/>
      <c r="L9" s="5"/>
      <c r="M9" s="5" t="s">
        <v>38</v>
      </c>
    </row>
    <row r="10" spans="2:16" ht="28.8" x14ac:dyDescent="0.3">
      <c r="B10" s="4" t="s">
        <v>16</v>
      </c>
      <c r="C10" s="5" t="s">
        <v>19</v>
      </c>
      <c r="D10" s="4" t="s">
        <v>23</v>
      </c>
      <c r="E10" s="4" t="s">
        <v>24</v>
      </c>
      <c r="F10" s="13" t="s">
        <v>27</v>
      </c>
      <c r="G10" s="13" t="s">
        <v>29</v>
      </c>
      <c r="H10" s="11" t="s">
        <v>30</v>
      </c>
      <c r="I10" s="13" t="s">
        <v>31</v>
      </c>
      <c r="J10" s="4" t="s">
        <v>34</v>
      </c>
      <c r="K10" s="4" t="s">
        <v>35</v>
      </c>
      <c r="L10" s="4" t="s">
        <v>36</v>
      </c>
      <c r="M10" s="4" t="s">
        <v>39</v>
      </c>
    </row>
    <row r="11" spans="2:16" x14ac:dyDescent="0.3">
      <c r="B11" s="72" t="s">
        <v>40</v>
      </c>
      <c r="C11" s="73"/>
      <c r="D11" s="14">
        <v>17.5</v>
      </c>
      <c r="E11" s="15"/>
      <c r="F11" s="15"/>
      <c r="G11" s="12" t="s">
        <v>28</v>
      </c>
      <c r="H11" s="15"/>
      <c r="I11" s="14">
        <v>15</v>
      </c>
      <c r="J11" s="14">
        <v>5</v>
      </c>
      <c r="K11" s="15"/>
      <c r="L11" s="15"/>
      <c r="M11" s="12" t="s">
        <v>20</v>
      </c>
    </row>
    <row r="12" spans="2:16" x14ac:dyDescent="0.3">
      <c r="B12" s="72" t="s">
        <v>42</v>
      </c>
      <c r="C12" s="73"/>
      <c r="D12" s="15"/>
      <c r="E12" s="15"/>
      <c r="F12" s="15"/>
      <c r="G12" s="12" t="s">
        <v>28</v>
      </c>
      <c r="H12" s="15"/>
      <c r="I12" s="15"/>
      <c r="J12" s="14" t="s">
        <v>43</v>
      </c>
      <c r="K12" s="15"/>
      <c r="L12" s="15"/>
      <c r="M12" s="14">
        <v>14</v>
      </c>
    </row>
    <row r="13" spans="2:16" x14ac:dyDescent="0.3">
      <c r="B13" s="72" t="s">
        <v>41</v>
      </c>
      <c r="C13" s="73"/>
      <c r="D13" s="15"/>
      <c r="E13" s="15"/>
      <c r="F13" s="15"/>
      <c r="G13" s="14">
        <v>11</v>
      </c>
      <c r="H13" s="15"/>
      <c r="I13" s="15"/>
      <c r="J13" s="14">
        <v>17.5</v>
      </c>
      <c r="K13" s="15"/>
      <c r="L13" s="15"/>
      <c r="M13" s="15"/>
    </row>
    <row r="15" spans="2:16" x14ac:dyDescent="0.3">
      <c r="B15" s="1" t="s">
        <v>44</v>
      </c>
    </row>
    <row r="16" spans="2:16" ht="286.2" customHeight="1" x14ac:dyDescent="0.3">
      <c r="B16" s="55" t="s">
        <v>45</v>
      </c>
      <c r="C16" s="56"/>
      <c r="D16" s="56"/>
      <c r="E16" s="56"/>
      <c r="F16" s="56"/>
      <c r="G16" s="56"/>
      <c r="H16" s="56"/>
      <c r="I16" s="56"/>
      <c r="J16" s="56"/>
      <c r="K16" s="56"/>
      <c r="L16" s="56"/>
      <c r="M16" s="56"/>
    </row>
    <row r="17" spans="2:13" x14ac:dyDescent="0.3">
      <c r="B17" s="71"/>
      <c r="C17" s="71"/>
      <c r="D17" s="71"/>
      <c r="E17" s="71"/>
      <c r="F17" s="71"/>
      <c r="G17" s="71"/>
      <c r="H17" s="71"/>
      <c r="I17" s="71"/>
      <c r="J17" s="71"/>
      <c r="K17" s="71"/>
      <c r="L17" s="71"/>
      <c r="M17" s="71"/>
    </row>
    <row r="18" spans="2:13" x14ac:dyDescent="0.3">
      <c r="B18" s="55" t="s">
        <v>46</v>
      </c>
      <c r="C18" s="55"/>
      <c r="D18" s="55"/>
      <c r="E18" s="55"/>
      <c r="F18" s="55"/>
      <c r="G18" s="55"/>
      <c r="H18" s="55"/>
      <c r="I18" s="55"/>
      <c r="J18" s="55"/>
      <c r="K18" s="55"/>
      <c r="L18" s="55"/>
      <c r="M18" s="55"/>
    </row>
    <row r="19" spans="2:13" x14ac:dyDescent="0.3">
      <c r="B19" s="2"/>
      <c r="C19" s="2"/>
      <c r="D19" s="2"/>
      <c r="E19" s="2"/>
      <c r="F19" s="2"/>
      <c r="G19" s="2"/>
      <c r="M19" s="19"/>
    </row>
    <row r="20" spans="2:13" x14ac:dyDescent="0.3">
      <c r="B20" s="2"/>
      <c r="C20" s="2"/>
      <c r="D20" s="2"/>
      <c r="E20" s="2"/>
      <c r="F20" s="2"/>
      <c r="G20" s="2"/>
      <c r="M20" s="20"/>
    </row>
    <row r="21" spans="2:13" x14ac:dyDescent="0.3">
      <c r="B21" s="2"/>
      <c r="C21" s="2"/>
      <c r="D21" s="2"/>
      <c r="E21" s="2"/>
      <c r="F21" s="2"/>
      <c r="G21" s="2"/>
      <c r="M21" s="20"/>
    </row>
    <row r="22" spans="2:13" x14ac:dyDescent="0.3">
      <c r="B22" s="2"/>
      <c r="C22" s="2"/>
      <c r="D22" s="2"/>
      <c r="E22" s="2"/>
      <c r="F22" s="2"/>
      <c r="G22" s="2"/>
      <c r="M22" s="20"/>
    </row>
    <row r="23" spans="2:13" x14ac:dyDescent="0.3">
      <c r="B23" s="2"/>
      <c r="C23" s="2"/>
      <c r="D23" s="2"/>
      <c r="E23" s="2"/>
      <c r="F23" s="2"/>
      <c r="G23" s="2"/>
      <c r="M23" s="20"/>
    </row>
    <row r="24" spans="2:13" x14ac:dyDescent="0.3">
      <c r="B24" s="2"/>
      <c r="C24" s="2"/>
      <c r="D24" s="2"/>
      <c r="E24" s="2"/>
      <c r="F24" s="2"/>
      <c r="G24" s="2"/>
      <c r="M24" s="20"/>
    </row>
    <row r="25" spans="2:13" x14ac:dyDescent="0.3">
      <c r="B25" s="2"/>
      <c r="C25" s="2"/>
      <c r="D25" s="2"/>
      <c r="E25" s="2"/>
      <c r="F25" s="2"/>
      <c r="G25" s="2"/>
      <c r="M25" s="20"/>
    </row>
    <row r="26" spans="2:13" x14ac:dyDescent="0.3">
      <c r="B26" s="2"/>
      <c r="C26" s="2"/>
      <c r="D26" s="2"/>
      <c r="E26" s="2"/>
      <c r="F26" s="2"/>
      <c r="G26" s="2"/>
      <c r="M26" s="20"/>
    </row>
    <row r="27" spans="2:13" x14ac:dyDescent="0.3">
      <c r="B27" s="2"/>
      <c r="C27" s="2"/>
      <c r="D27" s="2"/>
      <c r="E27" s="2"/>
      <c r="F27" s="2"/>
      <c r="G27" s="2"/>
      <c r="M27" s="20"/>
    </row>
    <row r="28" spans="2:13" x14ac:dyDescent="0.3">
      <c r="B28" s="2"/>
      <c r="C28" s="2"/>
      <c r="D28" s="2"/>
      <c r="E28" s="2"/>
      <c r="F28" s="2"/>
      <c r="G28" s="2"/>
      <c r="M28" s="20"/>
    </row>
    <row r="29" spans="2:13" x14ac:dyDescent="0.3">
      <c r="B29" s="2"/>
      <c r="C29" s="2"/>
      <c r="D29" s="2"/>
      <c r="E29" s="2"/>
      <c r="F29" s="2"/>
      <c r="G29" s="2"/>
      <c r="M29" s="20"/>
    </row>
    <row r="30" spans="2:13" x14ac:dyDescent="0.3">
      <c r="B30" s="2"/>
      <c r="C30" s="2"/>
      <c r="D30" s="2"/>
      <c r="E30" s="2"/>
      <c r="F30" s="2"/>
      <c r="G30" s="2"/>
      <c r="M30" s="20"/>
    </row>
    <row r="31" spans="2:13" x14ac:dyDescent="0.3">
      <c r="B31" s="2"/>
      <c r="C31" s="2"/>
      <c r="D31" s="2"/>
      <c r="E31" s="2"/>
      <c r="F31" s="2"/>
      <c r="G31" s="2"/>
      <c r="M31" s="20"/>
    </row>
    <row r="32" spans="2:13" x14ac:dyDescent="0.3">
      <c r="B32" s="2"/>
      <c r="C32" s="2"/>
      <c r="D32" s="2"/>
      <c r="E32" s="2"/>
      <c r="F32" s="2"/>
      <c r="G32" s="2"/>
      <c r="M32" s="20"/>
    </row>
    <row r="33" spans="2:13" x14ac:dyDescent="0.3">
      <c r="B33" s="2"/>
      <c r="C33" s="2"/>
      <c r="D33" s="2"/>
      <c r="E33" s="2"/>
      <c r="F33" s="2"/>
      <c r="G33" s="2"/>
      <c r="M33" s="20"/>
    </row>
    <row r="34" spans="2:13" x14ac:dyDescent="0.3">
      <c r="B34" s="2"/>
      <c r="C34" s="2"/>
      <c r="D34" s="2"/>
      <c r="E34" s="2"/>
      <c r="F34" s="2"/>
      <c r="G34" s="2"/>
      <c r="M34" s="20"/>
    </row>
    <row r="35" spans="2:13" x14ac:dyDescent="0.3">
      <c r="B35" s="2"/>
      <c r="C35" s="2"/>
      <c r="D35" s="2"/>
      <c r="E35" s="2"/>
      <c r="F35" s="2"/>
      <c r="G35" s="2"/>
      <c r="M35" s="20"/>
    </row>
    <row r="36" spans="2:13" x14ac:dyDescent="0.3">
      <c r="B36" s="2"/>
      <c r="C36" s="2"/>
      <c r="D36" s="2"/>
      <c r="E36" s="2"/>
      <c r="F36" s="2"/>
      <c r="G36" s="2"/>
      <c r="M36" s="20"/>
    </row>
    <row r="37" spans="2:13" x14ac:dyDescent="0.3">
      <c r="B37" s="2"/>
      <c r="C37" s="2"/>
      <c r="D37" s="2"/>
      <c r="E37" s="2"/>
      <c r="F37" s="2"/>
      <c r="G37" s="2"/>
      <c r="M37" s="20"/>
    </row>
    <row r="38" spans="2:13" x14ac:dyDescent="0.3">
      <c r="B38" s="2"/>
      <c r="C38" s="2"/>
      <c r="D38" s="2"/>
      <c r="E38" s="2"/>
      <c r="F38" s="2"/>
      <c r="G38" s="2"/>
      <c r="M38" s="20"/>
    </row>
    <row r="39" spans="2:13" x14ac:dyDescent="0.3">
      <c r="B39" s="2"/>
      <c r="C39" s="2"/>
      <c r="D39" s="2"/>
      <c r="E39" s="2"/>
      <c r="F39" s="2"/>
      <c r="G39" s="2"/>
      <c r="M39" s="20"/>
    </row>
    <row r="40" spans="2:13" x14ac:dyDescent="0.3">
      <c r="B40" s="2"/>
      <c r="C40" s="2"/>
      <c r="D40" s="2"/>
      <c r="E40" s="2"/>
      <c r="F40" s="2"/>
      <c r="G40" s="2"/>
      <c r="M40" s="20"/>
    </row>
    <row r="41" spans="2:13" x14ac:dyDescent="0.3">
      <c r="B41" s="2"/>
      <c r="C41" s="2"/>
      <c r="D41" s="2"/>
      <c r="E41" s="2"/>
      <c r="F41" s="2"/>
      <c r="G41" s="2"/>
      <c r="M41" s="20"/>
    </row>
    <row r="42" spans="2:13" x14ac:dyDescent="0.3">
      <c r="B42" s="2"/>
      <c r="C42" s="2"/>
      <c r="D42" s="2"/>
      <c r="E42" s="2"/>
      <c r="F42" s="2"/>
      <c r="G42" s="2"/>
      <c r="M42" s="21"/>
    </row>
    <row r="43" spans="2:13" ht="63" customHeight="1" x14ac:dyDescent="0.3">
      <c r="B43" s="17"/>
      <c r="C43" s="18"/>
      <c r="D43" s="67" t="s">
        <v>48</v>
      </c>
      <c r="E43" s="68"/>
      <c r="F43" s="68"/>
      <c r="G43" s="68"/>
      <c r="H43" s="68"/>
      <c r="I43" s="68"/>
      <c r="J43" s="68"/>
      <c r="K43" s="68"/>
      <c r="L43" s="68"/>
      <c r="M43" s="68"/>
    </row>
    <row r="44" spans="2:13" ht="72.75" customHeight="1" x14ac:dyDescent="0.3">
      <c r="B44" s="55" t="s">
        <v>49</v>
      </c>
      <c r="C44" s="56"/>
      <c r="D44" s="56"/>
      <c r="E44" s="56"/>
      <c r="F44" s="56"/>
      <c r="G44" s="56"/>
      <c r="H44" s="56"/>
      <c r="I44" s="56"/>
      <c r="J44" s="56"/>
      <c r="K44" s="56"/>
      <c r="L44" s="56"/>
      <c r="M44" s="56"/>
    </row>
    <row r="45" spans="2:13" ht="97.5" customHeight="1" x14ac:dyDescent="0.3">
      <c r="B45" s="17"/>
      <c r="C45" s="18"/>
      <c r="D45" s="67" t="s">
        <v>50</v>
      </c>
      <c r="E45" s="68"/>
      <c r="F45" s="68"/>
      <c r="G45" s="68"/>
      <c r="H45" s="68"/>
      <c r="I45" s="68"/>
      <c r="J45" s="68"/>
      <c r="K45" s="68"/>
      <c r="L45" s="68"/>
      <c r="M45" s="68"/>
    </row>
    <row r="46" spans="2:13" ht="42" customHeight="1" x14ac:dyDescent="0.3">
      <c r="B46" s="55" t="s">
        <v>51</v>
      </c>
      <c r="C46" s="56"/>
      <c r="D46" s="56"/>
      <c r="E46" s="56"/>
      <c r="F46" s="56"/>
      <c r="G46" s="56"/>
      <c r="H46" s="56"/>
      <c r="I46" s="56"/>
      <c r="J46" s="56"/>
      <c r="K46" s="56"/>
      <c r="L46" s="56"/>
      <c r="M46" s="56"/>
    </row>
    <row r="47" spans="2:13" ht="45.75" customHeight="1" x14ac:dyDescent="0.3">
      <c r="B47" s="55" t="s">
        <v>52</v>
      </c>
      <c r="C47" s="56"/>
      <c r="D47" s="56"/>
      <c r="E47" s="56"/>
      <c r="F47" s="56"/>
      <c r="G47" s="56"/>
      <c r="H47" s="56"/>
      <c r="I47" s="56"/>
      <c r="J47" s="56"/>
      <c r="K47" s="56"/>
      <c r="L47" s="56"/>
      <c r="M47" s="56"/>
    </row>
    <row r="48" spans="2:13" ht="72" customHeight="1" x14ac:dyDescent="0.3">
      <c r="B48" s="55" t="s">
        <v>53</v>
      </c>
      <c r="C48" s="56"/>
      <c r="D48" s="56"/>
      <c r="E48" s="56"/>
      <c r="F48" s="56"/>
      <c r="G48" s="56"/>
      <c r="H48" s="56"/>
      <c r="I48" s="56"/>
      <c r="J48" s="56"/>
      <c r="K48" s="56"/>
      <c r="L48" s="56"/>
      <c r="M48" s="56"/>
    </row>
    <row r="49" spans="2:17" x14ac:dyDescent="0.3">
      <c r="B49" s="69" t="s">
        <v>55</v>
      </c>
      <c r="C49" s="66"/>
      <c r="D49" s="66"/>
      <c r="E49" s="66"/>
      <c r="F49" s="66"/>
      <c r="G49" s="66"/>
      <c r="H49" s="66"/>
      <c r="I49" s="66"/>
      <c r="J49" s="66"/>
      <c r="K49" s="66"/>
      <c r="L49" s="66"/>
      <c r="M49" s="70"/>
    </row>
    <row r="50" spans="2:17" ht="60" customHeight="1" x14ac:dyDescent="0.3">
      <c r="B50" s="22"/>
      <c r="D50" s="57" t="s">
        <v>54</v>
      </c>
      <c r="E50" s="58"/>
      <c r="F50" s="58"/>
      <c r="G50" s="58"/>
      <c r="H50" s="58"/>
      <c r="I50" s="58"/>
      <c r="J50" s="58"/>
      <c r="K50" s="58"/>
      <c r="L50" s="58"/>
      <c r="M50" s="59"/>
    </row>
    <row r="51" spans="2:17" x14ac:dyDescent="0.3">
      <c r="B51" s="60" t="s">
        <v>56</v>
      </c>
      <c r="C51" s="61"/>
      <c r="D51" s="61"/>
      <c r="E51" s="61"/>
      <c r="F51" s="61"/>
      <c r="G51" s="61"/>
      <c r="H51" s="61"/>
      <c r="I51" s="61"/>
      <c r="J51" s="61"/>
      <c r="K51" s="61"/>
      <c r="L51" s="61"/>
      <c r="M51" s="62"/>
    </row>
    <row r="52" spans="2:17" ht="31.2" customHeight="1" x14ac:dyDescent="0.3">
      <c r="B52" s="22"/>
      <c r="D52" s="57" t="s">
        <v>57</v>
      </c>
      <c r="E52" s="58"/>
      <c r="F52" s="58"/>
      <c r="G52" s="58"/>
      <c r="H52" s="58"/>
      <c r="I52" s="58"/>
      <c r="J52" s="58"/>
      <c r="K52" s="58"/>
      <c r="L52" s="58"/>
      <c r="M52" s="59"/>
    </row>
    <row r="53" spans="2:17" x14ac:dyDescent="0.3">
      <c r="B53" s="60" t="s">
        <v>58</v>
      </c>
      <c r="C53" s="61"/>
      <c r="D53" s="61"/>
      <c r="E53" s="61"/>
      <c r="F53" s="61"/>
      <c r="G53" s="61"/>
      <c r="H53" s="61"/>
      <c r="I53" s="61"/>
      <c r="J53" s="61"/>
      <c r="K53" s="61"/>
      <c r="L53" s="61"/>
      <c r="M53" s="62"/>
    </row>
    <row r="54" spans="2:17" x14ac:dyDescent="0.3">
      <c r="B54" s="23"/>
      <c r="C54" s="24"/>
      <c r="D54" s="63" t="s">
        <v>59</v>
      </c>
      <c r="E54" s="63"/>
      <c r="F54" s="63"/>
      <c r="G54" s="63"/>
      <c r="H54" s="63"/>
      <c r="I54" s="63"/>
      <c r="J54" s="63"/>
      <c r="K54" s="63"/>
      <c r="L54" s="63"/>
      <c r="M54" s="64"/>
    </row>
    <row r="56" spans="2:17" x14ac:dyDescent="0.3">
      <c r="B56" s="65" t="s">
        <v>60</v>
      </c>
      <c r="C56" s="65"/>
      <c r="D56" s="65"/>
      <c r="E56" s="65"/>
      <c r="F56" s="65"/>
      <c r="G56" s="65"/>
      <c r="H56" s="65"/>
      <c r="I56" s="65"/>
      <c r="J56" s="65"/>
      <c r="K56" s="65"/>
      <c r="L56" s="65"/>
      <c r="M56" s="65"/>
    </row>
    <row r="57" spans="2:17" x14ac:dyDescent="0.3">
      <c r="B57" s="25"/>
      <c r="C57" s="25"/>
      <c r="D57" s="25"/>
      <c r="E57" s="25"/>
      <c r="F57" s="25"/>
      <c r="G57" s="25"/>
      <c r="H57" s="25"/>
      <c r="I57" s="25"/>
      <c r="J57" s="25"/>
      <c r="K57" s="25"/>
      <c r="L57" s="25"/>
      <c r="M57" s="25"/>
    </row>
    <row r="58" spans="2:17" x14ac:dyDescent="0.3">
      <c r="B58" s="5" t="s">
        <v>61</v>
      </c>
      <c r="C58" s="5" t="s">
        <v>62</v>
      </c>
      <c r="D58" s="8" t="s">
        <v>63</v>
      </c>
      <c r="E58" s="8" t="s">
        <v>64</v>
      </c>
      <c r="F58" s="8" t="s">
        <v>65</v>
      </c>
      <c r="G58" s="8" t="s">
        <v>66</v>
      </c>
      <c r="H58" s="8" t="s">
        <v>67</v>
      </c>
      <c r="I58" s="8" t="s">
        <v>68</v>
      </c>
      <c r="J58" s="8" t="s">
        <v>69</v>
      </c>
      <c r="K58" s="8" t="s">
        <v>70</v>
      </c>
      <c r="L58" s="8" t="s">
        <v>71</v>
      </c>
      <c r="M58" s="8" t="s">
        <v>72</v>
      </c>
      <c r="N58" s="8" t="s">
        <v>73</v>
      </c>
      <c r="O58" s="8" t="s">
        <v>74</v>
      </c>
      <c r="P58" s="2"/>
      <c r="Q58" s="5" t="s">
        <v>75</v>
      </c>
    </row>
    <row r="59" spans="2:17" ht="35.549999999999997" customHeight="1" x14ac:dyDescent="0.3">
      <c r="B59" s="5" t="s">
        <v>76</v>
      </c>
      <c r="C59" s="3" t="s">
        <v>78</v>
      </c>
      <c r="D59" s="38">
        <f>36000/12</f>
        <v>3000</v>
      </c>
      <c r="E59" s="38">
        <f t="shared" ref="E59:O59" si="0">36000/12</f>
        <v>3000</v>
      </c>
      <c r="F59" s="38">
        <f t="shared" si="0"/>
        <v>3000</v>
      </c>
      <c r="G59" s="38">
        <f t="shared" si="0"/>
        <v>3000</v>
      </c>
      <c r="H59" s="38">
        <f t="shared" si="0"/>
        <v>3000</v>
      </c>
      <c r="I59" s="38">
        <f t="shared" si="0"/>
        <v>3000</v>
      </c>
      <c r="J59" s="38">
        <f t="shared" si="0"/>
        <v>3000</v>
      </c>
      <c r="K59" s="49">
        <f t="shared" si="0"/>
        <v>3000</v>
      </c>
      <c r="L59" s="49">
        <f t="shared" si="0"/>
        <v>3000</v>
      </c>
      <c r="M59" s="49">
        <f t="shared" si="0"/>
        <v>3000</v>
      </c>
      <c r="N59" s="49">
        <f t="shared" si="0"/>
        <v>3000</v>
      </c>
      <c r="O59" s="49">
        <f t="shared" si="0"/>
        <v>3000</v>
      </c>
      <c r="P59" s="38"/>
      <c r="Q59" s="45">
        <f>D59+E59+F59+G59+H59+I59+J59+L59+K59+N59+M59+O59+P59</f>
        <v>36000</v>
      </c>
    </row>
    <row r="60" spans="2:17" x14ac:dyDescent="0.3">
      <c r="B60" s="2"/>
      <c r="C60" s="17" t="s">
        <v>79</v>
      </c>
      <c r="D60" s="28" t="s">
        <v>82</v>
      </c>
      <c r="E60" s="28" t="s">
        <v>72</v>
      </c>
      <c r="F60" s="28" t="s">
        <v>83</v>
      </c>
      <c r="G60" s="28" t="s">
        <v>74</v>
      </c>
      <c r="H60" s="28" t="s">
        <v>63</v>
      </c>
      <c r="I60" s="28" t="s">
        <v>64</v>
      </c>
      <c r="J60" s="28" t="s">
        <v>65</v>
      </c>
      <c r="K60" s="28" t="s">
        <v>66</v>
      </c>
      <c r="L60" s="28" t="s">
        <v>67</v>
      </c>
      <c r="M60" s="28" t="s">
        <v>68</v>
      </c>
      <c r="N60" s="28" t="s">
        <v>69</v>
      </c>
      <c r="O60" s="28" t="s">
        <v>70</v>
      </c>
      <c r="P60" s="28" t="s">
        <v>82</v>
      </c>
      <c r="Q60" s="18"/>
    </row>
    <row r="61" spans="2:17" ht="28.8" x14ac:dyDescent="0.3">
      <c r="B61" s="5" t="s">
        <v>76</v>
      </c>
      <c r="C61" s="3" t="s">
        <v>80</v>
      </c>
      <c r="D61" s="29"/>
      <c r="E61" s="29"/>
      <c r="F61" s="29"/>
      <c r="G61" s="29"/>
      <c r="H61" s="29"/>
      <c r="I61" s="29"/>
      <c r="J61" s="29"/>
      <c r="K61" s="29"/>
      <c r="L61" s="29"/>
      <c r="M61" s="29"/>
      <c r="N61" s="29"/>
      <c r="O61" s="29"/>
      <c r="P61" s="29"/>
      <c r="Q61" s="39">
        <f>D61+E61+F61+G61+H61+I61+J61+K61+L61+M61+N61+O61+P61</f>
        <v>0</v>
      </c>
    </row>
    <row r="62" spans="2:17" x14ac:dyDescent="0.3">
      <c r="B62" s="2"/>
      <c r="C62" s="17" t="s">
        <v>79</v>
      </c>
      <c r="D62" s="28" t="s">
        <v>65</v>
      </c>
      <c r="E62" s="28" t="s">
        <v>66</v>
      </c>
      <c r="F62" s="28" t="s">
        <v>67</v>
      </c>
      <c r="G62" s="28" t="s">
        <v>68</v>
      </c>
      <c r="H62" s="28" t="s">
        <v>69</v>
      </c>
      <c r="I62" s="28" t="s">
        <v>70</v>
      </c>
      <c r="J62" s="28" t="s">
        <v>82</v>
      </c>
      <c r="K62" s="28" t="s">
        <v>72</v>
      </c>
      <c r="L62" s="28" t="s">
        <v>73</v>
      </c>
      <c r="M62" s="28" t="s">
        <v>74</v>
      </c>
      <c r="N62" s="28" t="s">
        <v>63</v>
      </c>
      <c r="O62" s="28" t="s">
        <v>64</v>
      </c>
      <c r="P62" s="28" t="s">
        <v>65</v>
      </c>
      <c r="Q62" s="50"/>
    </row>
    <row r="63" spans="2:17" ht="28.8" x14ac:dyDescent="0.3">
      <c r="B63" s="5" t="s">
        <v>77</v>
      </c>
      <c r="C63" s="3" t="s">
        <v>81</v>
      </c>
      <c r="D63" s="27"/>
      <c r="E63" s="27"/>
      <c r="F63" s="27"/>
      <c r="G63" s="27"/>
      <c r="H63" s="27"/>
      <c r="I63" s="27"/>
      <c r="J63" s="27"/>
      <c r="K63" s="27"/>
      <c r="L63" s="27"/>
      <c r="M63" s="27"/>
      <c r="N63" s="27"/>
      <c r="O63" s="27"/>
      <c r="P63" s="27"/>
      <c r="Q63" s="39">
        <f>D63+E63+F63+G63+H63+I63+J63+K63+L63+M63+N63+O63+P63</f>
        <v>0</v>
      </c>
    </row>
    <row r="64" spans="2:17" x14ac:dyDescent="0.3">
      <c r="B64" s="66" t="s">
        <v>84</v>
      </c>
      <c r="C64" s="66"/>
      <c r="D64" s="66"/>
      <c r="E64" s="66"/>
      <c r="F64" s="66"/>
      <c r="G64" s="66"/>
      <c r="H64" s="66"/>
      <c r="I64" s="66"/>
      <c r="J64" s="66"/>
      <c r="K64" s="66"/>
      <c r="L64" s="66"/>
      <c r="M64" s="66"/>
      <c r="N64" s="66"/>
      <c r="O64" s="66"/>
      <c r="P64" s="66"/>
      <c r="Q64" s="66"/>
    </row>
    <row r="66" spans="2:17" x14ac:dyDescent="0.3">
      <c r="B66" s="65" t="s">
        <v>85</v>
      </c>
      <c r="C66" s="65"/>
      <c r="D66" s="65"/>
      <c r="E66" s="65"/>
      <c r="F66" s="65"/>
      <c r="G66" s="65"/>
      <c r="H66" s="65"/>
      <c r="I66" s="65"/>
      <c r="J66" s="65"/>
      <c r="K66" s="65"/>
      <c r="L66" s="65"/>
      <c r="M66" s="65"/>
      <c r="N66" s="65"/>
      <c r="O66" s="65"/>
      <c r="P66" s="65"/>
      <c r="Q66" s="65"/>
    </row>
    <row r="68" spans="2:17" ht="57.6" x14ac:dyDescent="0.3">
      <c r="B68" s="2"/>
      <c r="C68" s="30" t="s">
        <v>86</v>
      </c>
      <c r="D68" s="30" t="s">
        <v>87</v>
      </c>
      <c r="E68" s="31" t="s">
        <v>88</v>
      </c>
      <c r="F68" s="31" t="s">
        <v>89</v>
      </c>
    </row>
    <row r="69" spans="2:17" x14ac:dyDescent="0.3">
      <c r="B69" s="32">
        <v>1</v>
      </c>
      <c r="C69" s="32">
        <v>2</v>
      </c>
      <c r="D69" s="32">
        <v>3</v>
      </c>
      <c r="E69" s="32">
        <v>4</v>
      </c>
      <c r="F69" s="32">
        <v>5</v>
      </c>
    </row>
    <row r="70" spans="2:17" x14ac:dyDescent="0.3">
      <c r="B70" s="16">
        <v>1</v>
      </c>
      <c r="C70" s="33" t="s">
        <v>134</v>
      </c>
      <c r="D70" s="33" t="s">
        <v>122</v>
      </c>
      <c r="E70" s="47">
        <v>3311.9884579999998</v>
      </c>
      <c r="F70" s="47">
        <v>3311.9884579999998</v>
      </c>
    </row>
    <row r="71" spans="2:17" x14ac:dyDescent="0.3">
      <c r="B71" s="16">
        <v>2</v>
      </c>
      <c r="C71" s="33" t="s">
        <v>135</v>
      </c>
      <c r="D71" s="33" t="s">
        <v>122</v>
      </c>
      <c r="E71" s="47">
        <v>2816.56583</v>
      </c>
      <c r="F71" s="47">
        <v>2816.56583</v>
      </c>
    </row>
    <row r="72" spans="2:17" x14ac:dyDescent="0.3">
      <c r="B72" s="16">
        <v>3</v>
      </c>
      <c r="C72" s="33" t="s">
        <v>136</v>
      </c>
      <c r="D72" s="33" t="s">
        <v>122</v>
      </c>
      <c r="E72" s="47">
        <v>2255.9846299999999</v>
      </c>
      <c r="F72" s="47">
        <v>2255.9846299999999</v>
      </c>
    </row>
    <row r="73" spans="2:17" x14ac:dyDescent="0.3">
      <c r="B73" s="16">
        <v>4</v>
      </c>
      <c r="C73" s="33" t="s">
        <v>137</v>
      </c>
      <c r="D73" s="33" t="s">
        <v>122</v>
      </c>
      <c r="E73" s="47">
        <v>2063.7040299999999</v>
      </c>
      <c r="F73" s="47">
        <v>2063.7040299999999</v>
      </c>
    </row>
    <row r="74" spans="2:17" x14ac:dyDescent="0.3">
      <c r="B74" s="16">
        <v>5</v>
      </c>
      <c r="C74" s="33" t="s">
        <v>138</v>
      </c>
      <c r="D74" s="33" t="s">
        <v>122</v>
      </c>
      <c r="E74" s="47">
        <v>1933.1736699999999</v>
      </c>
      <c r="F74" s="47">
        <v>1933.1736699999999</v>
      </c>
    </row>
    <row r="75" spans="2:17" x14ac:dyDescent="0.3">
      <c r="B75" s="16">
        <v>6</v>
      </c>
      <c r="C75" s="33" t="s">
        <v>139</v>
      </c>
      <c r="D75" s="33" t="s">
        <v>122</v>
      </c>
      <c r="E75" s="47">
        <v>1532.119678</v>
      </c>
      <c r="F75" s="47">
        <v>1532.119678</v>
      </c>
    </row>
    <row r="76" spans="2:17" x14ac:dyDescent="0.3">
      <c r="B76" s="16">
        <v>7</v>
      </c>
      <c r="C76" s="33" t="s">
        <v>140</v>
      </c>
      <c r="D76" s="33" t="s">
        <v>122</v>
      </c>
      <c r="E76" s="47">
        <v>1327.38896</v>
      </c>
      <c r="F76" s="47">
        <v>1327.38896</v>
      </c>
    </row>
    <row r="77" spans="2:17" x14ac:dyDescent="0.3">
      <c r="B77" s="16">
        <v>8</v>
      </c>
      <c r="C77" s="33" t="s">
        <v>141</v>
      </c>
      <c r="D77" s="33" t="s">
        <v>122</v>
      </c>
      <c r="E77" s="47">
        <v>1222.0091</v>
      </c>
      <c r="F77" s="47">
        <v>1222.0091</v>
      </c>
    </row>
    <row r="78" spans="2:17" x14ac:dyDescent="0.3">
      <c r="B78" s="16">
        <v>9</v>
      </c>
      <c r="C78" s="33" t="s">
        <v>142</v>
      </c>
      <c r="D78" s="33" t="s">
        <v>122</v>
      </c>
      <c r="E78" s="47">
        <v>1220.4695899999999</v>
      </c>
      <c r="F78" s="47">
        <v>1220.4695899999999</v>
      </c>
    </row>
    <row r="79" spans="2:17" x14ac:dyDescent="0.3">
      <c r="B79" s="16">
        <v>10</v>
      </c>
      <c r="C79" s="33" t="s">
        <v>143</v>
      </c>
      <c r="D79" s="33" t="s">
        <v>122</v>
      </c>
      <c r="E79" s="47">
        <v>1157.67102</v>
      </c>
      <c r="F79" s="47">
        <v>1157.67102</v>
      </c>
    </row>
    <row r="80" spans="2:17" x14ac:dyDescent="0.3">
      <c r="B80" s="16">
        <v>11</v>
      </c>
      <c r="C80" s="33" t="s">
        <v>144</v>
      </c>
      <c r="D80" s="33" t="s">
        <v>122</v>
      </c>
      <c r="E80" s="47">
        <v>1148.3887999999999</v>
      </c>
      <c r="F80" s="47">
        <v>1148.3887999999999</v>
      </c>
    </row>
    <row r="81" spans="2:6" x14ac:dyDescent="0.3">
      <c r="B81" s="16">
        <v>12</v>
      </c>
      <c r="C81" s="33" t="s">
        <v>145</v>
      </c>
      <c r="D81" s="33" t="s">
        <v>122</v>
      </c>
      <c r="E81" s="47">
        <v>975.64016000000004</v>
      </c>
      <c r="F81" s="47">
        <v>975.64016000000004</v>
      </c>
    </row>
    <row r="82" spans="2:6" x14ac:dyDescent="0.3">
      <c r="B82" s="16">
        <v>13</v>
      </c>
      <c r="C82" s="33" t="s">
        <v>146</v>
      </c>
      <c r="D82" s="33" t="s">
        <v>122</v>
      </c>
      <c r="E82" s="47">
        <v>898.72848999999997</v>
      </c>
      <c r="F82" s="47">
        <v>898.72848999999997</v>
      </c>
    </row>
    <row r="83" spans="2:6" x14ac:dyDescent="0.3">
      <c r="B83" s="16">
        <v>14</v>
      </c>
      <c r="C83" s="33" t="s">
        <v>147</v>
      </c>
      <c r="D83" s="33" t="s">
        <v>122</v>
      </c>
      <c r="E83" s="47">
        <v>895.29484000000002</v>
      </c>
      <c r="F83" s="47">
        <v>895.29484000000002</v>
      </c>
    </row>
    <row r="84" spans="2:6" x14ac:dyDescent="0.3">
      <c r="B84" s="16">
        <v>15</v>
      </c>
      <c r="C84" s="33" t="s">
        <v>148</v>
      </c>
      <c r="D84" s="33" t="s">
        <v>122</v>
      </c>
      <c r="E84" s="47">
        <v>895.25027999999998</v>
      </c>
      <c r="F84" s="47">
        <v>895.25027999999998</v>
      </c>
    </row>
    <row r="85" spans="2:6" x14ac:dyDescent="0.3">
      <c r="B85" s="16">
        <v>16</v>
      </c>
      <c r="C85" s="33" t="s">
        <v>149</v>
      </c>
      <c r="D85" s="33" t="s">
        <v>122</v>
      </c>
      <c r="E85" s="47">
        <v>725.23590999999999</v>
      </c>
      <c r="F85" s="47">
        <v>725.23590999999999</v>
      </c>
    </row>
    <row r="86" spans="2:6" x14ac:dyDescent="0.3">
      <c r="B86" s="16">
        <v>17</v>
      </c>
      <c r="C86" s="33" t="s">
        <v>150</v>
      </c>
      <c r="D86" s="33" t="s">
        <v>122</v>
      </c>
      <c r="E86" s="47">
        <v>615.98568</v>
      </c>
      <c r="F86" s="47">
        <v>615.98568</v>
      </c>
    </row>
    <row r="87" spans="2:6" x14ac:dyDescent="0.3">
      <c r="B87" s="16">
        <v>18</v>
      </c>
      <c r="C87" s="33" t="s">
        <v>151</v>
      </c>
      <c r="D87" s="33" t="s">
        <v>122</v>
      </c>
      <c r="E87" s="47">
        <v>601.66728999999998</v>
      </c>
      <c r="F87" s="47">
        <v>601.66728999999998</v>
      </c>
    </row>
    <row r="88" spans="2:6" x14ac:dyDescent="0.3">
      <c r="B88" s="16">
        <v>19</v>
      </c>
      <c r="C88" s="33" t="s">
        <v>152</v>
      </c>
      <c r="D88" s="33" t="s">
        <v>122</v>
      </c>
      <c r="E88" s="47">
        <v>593.96763999999996</v>
      </c>
      <c r="F88" s="47">
        <v>593.96763999999996</v>
      </c>
    </row>
    <row r="89" spans="2:6" x14ac:dyDescent="0.3">
      <c r="B89" s="16">
        <v>20</v>
      </c>
      <c r="C89" s="33" t="s">
        <v>153</v>
      </c>
      <c r="D89" s="33" t="s">
        <v>122</v>
      </c>
      <c r="E89" s="47">
        <v>571.74360999999999</v>
      </c>
      <c r="F89" s="47">
        <v>571.74360999999999</v>
      </c>
    </row>
    <row r="90" spans="2:6" x14ac:dyDescent="0.3">
      <c r="B90" s="16">
        <v>21</v>
      </c>
      <c r="C90" s="33" t="s">
        <v>154</v>
      </c>
      <c r="D90" s="33" t="s">
        <v>122</v>
      </c>
      <c r="E90" s="47">
        <v>543.79884000000004</v>
      </c>
      <c r="F90" s="47">
        <v>543.79884000000004</v>
      </c>
    </row>
    <row r="91" spans="2:6" x14ac:dyDescent="0.3">
      <c r="B91" s="16">
        <v>22</v>
      </c>
      <c r="C91" s="33" t="s">
        <v>155</v>
      </c>
      <c r="D91" s="33" t="s">
        <v>122</v>
      </c>
      <c r="E91" s="47">
        <v>527.58776</v>
      </c>
      <c r="F91" s="47">
        <v>527.58776</v>
      </c>
    </row>
    <row r="92" spans="2:6" x14ac:dyDescent="0.3">
      <c r="B92" s="16">
        <v>23</v>
      </c>
      <c r="C92" s="33" t="s">
        <v>156</v>
      </c>
      <c r="D92" s="33" t="s">
        <v>122</v>
      </c>
      <c r="E92" s="47">
        <v>515.82748000000004</v>
      </c>
      <c r="F92" s="47">
        <v>515.82748000000004</v>
      </c>
    </row>
    <row r="93" spans="2:6" x14ac:dyDescent="0.3">
      <c r="B93" s="16">
        <v>24</v>
      </c>
      <c r="C93" s="33" t="s">
        <v>157</v>
      </c>
      <c r="D93" s="33" t="s">
        <v>122</v>
      </c>
      <c r="E93" s="47">
        <v>505.73327</v>
      </c>
      <c r="F93" s="47">
        <v>505.73327</v>
      </c>
    </row>
    <row r="94" spans="2:6" x14ac:dyDescent="0.3">
      <c r="B94" s="16">
        <v>25</v>
      </c>
      <c r="C94" s="33" t="s">
        <v>158</v>
      </c>
      <c r="D94" s="33" t="s">
        <v>122</v>
      </c>
      <c r="E94" s="47">
        <v>502.94952999999998</v>
      </c>
      <c r="F94" s="47">
        <v>502.94952999999998</v>
      </c>
    </row>
    <row r="95" spans="2:6" x14ac:dyDescent="0.3">
      <c r="B95" s="16">
        <v>26</v>
      </c>
      <c r="C95" s="33" t="s">
        <v>159</v>
      </c>
      <c r="D95" s="33" t="s">
        <v>122</v>
      </c>
      <c r="E95" s="47">
        <v>481.89571999999998</v>
      </c>
      <c r="F95" s="47">
        <v>481.89571999999998</v>
      </c>
    </row>
    <row r="96" spans="2:6" x14ac:dyDescent="0.3">
      <c r="B96" s="16">
        <v>27</v>
      </c>
      <c r="C96" s="33" t="s">
        <v>160</v>
      </c>
      <c r="D96" s="33" t="s">
        <v>122</v>
      </c>
      <c r="E96" s="47">
        <v>477.79847000000001</v>
      </c>
      <c r="F96" s="47">
        <v>477.79847000000001</v>
      </c>
    </row>
    <row r="97" spans="2:6" x14ac:dyDescent="0.3">
      <c r="B97" s="16">
        <v>28</v>
      </c>
      <c r="C97" s="33" t="s">
        <v>161</v>
      </c>
      <c r="D97" s="33" t="s">
        <v>122</v>
      </c>
      <c r="E97" s="47">
        <v>466.37022999999999</v>
      </c>
      <c r="F97" s="47">
        <v>466.37022999999999</v>
      </c>
    </row>
    <row r="98" spans="2:6" x14ac:dyDescent="0.3">
      <c r="B98" s="16">
        <v>29</v>
      </c>
      <c r="C98" s="33" t="s">
        <v>162</v>
      </c>
      <c r="D98" s="33" t="s">
        <v>122</v>
      </c>
      <c r="E98" s="47">
        <v>456.29050000000001</v>
      </c>
      <c r="F98" s="47">
        <v>456.29050000000001</v>
      </c>
    </row>
    <row r="99" spans="2:6" x14ac:dyDescent="0.3">
      <c r="B99" s="16">
        <v>30</v>
      </c>
      <c r="C99" s="33" t="s">
        <v>163</v>
      </c>
      <c r="D99" s="33" t="s">
        <v>122</v>
      </c>
      <c r="E99" s="47">
        <v>440.56871999999998</v>
      </c>
      <c r="F99" s="47">
        <v>440.56871999999998</v>
      </c>
    </row>
    <row r="100" spans="2:6" x14ac:dyDescent="0.3">
      <c r="B100" s="16">
        <v>31</v>
      </c>
      <c r="C100" s="33" t="s">
        <v>164</v>
      </c>
      <c r="D100" s="33" t="s">
        <v>122</v>
      </c>
      <c r="E100" s="47">
        <v>431.94904000000002</v>
      </c>
      <c r="F100" s="47">
        <v>431.94904000000002</v>
      </c>
    </row>
    <row r="101" spans="2:6" x14ac:dyDescent="0.3">
      <c r="B101" s="16">
        <v>32</v>
      </c>
      <c r="C101" s="33" t="s">
        <v>165</v>
      </c>
      <c r="D101" s="33" t="s">
        <v>122</v>
      </c>
      <c r="E101" s="47">
        <v>428.8365</v>
      </c>
      <c r="F101" s="47">
        <v>428.8365</v>
      </c>
    </row>
    <row r="102" spans="2:6" x14ac:dyDescent="0.3">
      <c r="B102" s="16">
        <v>33</v>
      </c>
      <c r="C102" s="33" t="s">
        <v>166</v>
      </c>
      <c r="D102" s="33" t="s">
        <v>122</v>
      </c>
      <c r="E102" s="47">
        <v>415.35003999999998</v>
      </c>
      <c r="F102" s="47">
        <v>415.35003999999998</v>
      </c>
    </row>
    <row r="103" spans="2:6" x14ac:dyDescent="0.3">
      <c r="B103" s="16">
        <v>34</v>
      </c>
      <c r="C103" s="33" t="s">
        <v>167</v>
      </c>
      <c r="D103" s="33" t="s">
        <v>122</v>
      </c>
      <c r="E103" s="47">
        <v>414.47003999999998</v>
      </c>
      <c r="F103" s="47">
        <v>414.47003999999998</v>
      </c>
    </row>
    <row r="104" spans="2:6" x14ac:dyDescent="0.3">
      <c r="B104" s="16">
        <v>35</v>
      </c>
      <c r="C104" s="33" t="s">
        <v>168</v>
      </c>
      <c r="D104" s="33" t="s">
        <v>122</v>
      </c>
      <c r="E104" s="47">
        <v>408.89053999999999</v>
      </c>
      <c r="F104" s="47">
        <v>408.89053999999999</v>
      </c>
    </row>
    <row r="105" spans="2:6" x14ac:dyDescent="0.3">
      <c r="B105" s="16">
        <v>36</v>
      </c>
      <c r="C105" s="33" t="s">
        <v>169</v>
      </c>
      <c r="D105" s="33" t="s">
        <v>122</v>
      </c>
      <c r="E105" s="47">
        <v>392.55583999999999</v>
      </c>
      <c r="F105" s="47">
        <v>392.55583999999999</v>
      </c>
    </row>
    <row r="106" spans="2:6" x14ac:dyDescent="0.3">
      <c r="B106" s="16">
        <v>37</v>
      </c>
      <c r="C106" s="33" t="s">
        <v>170</v>
      </c>
      <c r="D106" s="33" t="s">
        <v>122</v>
      </c>
      <c r="E106" s="47">
        <v>373.44591000000003</v>
      </c>
      <c r="F106" s="47">
        <v>373.44591000000003</v>
      </c>
    </row>
    <row r="107" spans="2:6" x14ac:dyDescent="0.3">
      <c r="B107" s="16">
        <v>38</v>
      </c>
      <c r="C107" s="33" t="s">
        <v>171</v>
      </c>
      <c r="D107" s="33" t="s">
        <v>122</v>
      </c>
      <c r="E107" s="47">
        <v>356.22546999999997</v>
      </c>
      <c r="F107" s="47">
        <v>356.22546999999997</v>
      </c>
    </row>
    <row r="108" spans="2:6" x14ac:dyDescent="0.3">
      <c r="B108" s="16">
        <v>39</v>
      </c>
      <c r="C108" s="33" t="s">
        <v>172</v>
      </c>
      <c r="D108" s="33" t="s">
        <v>122</v>
      </c>
      <c r="E108" s="47">
        <v>355.91592000000003</v>
      </c>
      <c r="F108" s="47">
        <v>355.91592000000003</v>
      </c>
    </row>
    <row r="109" spans="2:6" x14ac:dyDescent="0.3">
      <c r="B109" s="16">
        <v>40</v>
      </c>
      <c r="C109" s="33" t="s">
        <v>173</v>
      </c>
      <c r="D109" s="33" t="s">
        <v>122</v>
      </c>
      <c r="E109" s="47">
        <v>346.42167000000001</v>
      </c>
      <c r="F109" s="47">
        <v>346.42167000000001</v>
      </c>
    </row>
    <row r="110" spans="2:6" x14ac:dyDescent="0.3">
      <c r="B110" s="16">
        <v>41</v>
      </c>
      <c r="C110" s="33" t="s">
        <v>174</v>
      </c>
      <c r="D110" s="33" t="s">
        <v>122</v>
      </c>
      <c r="E110" s="47">
        <v>338.49723</v>
      </c>
      <c r="F110" s="47">
        <v>338.49723</v>
      </c>
    </row>
    <row r="111" spans="2:6" x14ac:dyDescent="0.3">
      <c r="B111" s="16">
        <v>42</v>
      </c>
      <c r="C111" s="33" t="s">
        <v>175</v>
      </c>
      <c r="D111" s="33" t="s">
        <v>122</v>
      </c>
      <c r="E111" s="47">
        <v>321.09078</v>
      </c>
      <c r="F111" s="47">
        <v>321.09078</v>
      </c>
    </row>
    <row r="112" spans="2:6" x14ac:dyDescent="0.3">
      <c r="B112" s="16">
        <v>43</v>
      </c>
      <c r="C112" s="33" t="s">
        <v>176</v>
      </c>
      <c r="D112" s="33" t="s">
        <v>122</v>
      </c>
      <c r="E112" s="47">
        <v>303.80263000000002</v>
      </c>
      <c r="F112" s="47">
        <v>303.80263000000002</v>
      </c>
    </row>
    <row r="113" spans="2:6" x14ac:dyDescent="0.3">
      <c r="B113" s="16">
        <v>44</v>
      </c>
      <c r="C113" s="33" t="s">
        <v>177</v>
      </c>
      <c r="D113" s="33" t="s">
        <v>122</v>
      </c>
      <c r="E113" s="47">
        <v>302.15834999999998</v>
      </c>
      <c r="F113" s="47">
        <v>302.15834999999998</v>
      </c>
    </row>
    <row r="114" spans="2:6" x14ac:dyDescent="0.3">
      <c r="B114" s="16">
        <v>45</v>
      </c>
      <c r="C114" s="33" t="s">
        <v>178</v>
      </c>
      <c r="D114" s="33" t="s">
        <v>122</v>
      </c>
      <c r="E114" s="47">
        <v>299.24554000000001</v>
      </c>
      <c r="F114" s="47">
        <v>299.24554000000001</v>
      </c>
    </row>
    <row r="115" spans="2:6" x14ac:dyDescent="0.3">
      <c r="B115" s="16">
        <v>46</v>
      </c>
      <c r="C115" s="33" t="s">
        <v>179</v>
      </c>
      <c r="D115" s="33" t="s">
        <v>122</v>
      </c>
      <c r="E115" s="47">
        <v>287.42108999999999</v>
      </c>
      <c r="F115" s="47">
        <v>287.42108999999999</v>
      </c>
    </row>
    <row r="116" spans="2:6" x14ac:dyDescent="0.3">
      <c r="B116" s="16">
        <v>47</v>
      </c>
      <c r="C116" s="33" t="s">
        <v>180</v>
      </c>
      <c r="D116" s="33" t="s">
        <v>122</v>
      </c>
      <c r="E116" s="47">
        <v>279.25526000000002</v>
      </c>
      <c r="F116" s="47">
        <v>279.25526000000002</v>
      </c>
    </row>
    <row r="117" spans="2:6" x14ac:dyDescent="0.3">
      <c r="B117" s="16">
        <v>48</v>
      </c>
      <c r="C117" s="33" t="s">
        <v>181</v>
      </c>
      <c r="D117" s="33" t="s">
        <v>122</v>
      </c>
      <c r="E117" s="47">
        <v>279.08697000000001</v>
      </c>
      <c r="F117" s="47">
        <v>279.08697000000001</v>
      </c>
    </row>
    <row r="118" spans="2:6" x14ac:dyDescent="0.3">
      <c r="B118" s="16">
        <v>49</v>
      </c>
      <c r="C118" s="33" t="s">
        <v>182</v>
      </c>
      <c r="D118" s="33" t="s">
        <v>122</v>
      </c>
      <c r="E118" s="47">
        <v>271.51393999999999</v>
      </c>
      <c r="F118" s="47">
        <v>271.51393999999999</v>
      </c>
    </row>
    <row r="119" spans="2:6" x14ac:dyDescent="0.3">
      <c r="B119" s="16">
        <v>50</v>
      </c>
      <c r="C119" s="33" t="s">
        <v>183</v>
      </c>
      <c r="D119" s="33" t="s">
        <v>122</v>
      </c>
      <c r="E119" s="47">
        <v>268.92419000000001</v>
      </c>
      <c r="F119" s="47">
        <v>268.92419000000001</v>
      </c>
    </row>
    <row r="120" spans="2:6" x14ac:dyDescent="0.3">
      <c r="B120" s="16">
        <v>51</v>
      </c>
      <c r="C120" s="33" t="s">
        <v>184</v>
      </c>
      <c r="D120" s="33" t="s">
        <v>122</v>
      </c>
      <c r="E120" s="47">
        <v>264.42036999999999</v>
      </c>
      <c r="F120" s="47">
        <v>264.42036999999999</v>
      </c>
    </row>
    <row r="121" spans="2:6" x14ac:dyDescent="0.3">
      <c r="B121" s="16">
        <v>52</v>
      </c>
      <c r="C121" s="33" t="s">
        <v>185</v>
      </c>
      <c r="D121" s="33" t="s">
        <v>122</v>
      </c>
      <c r="E121" s="47">
        <v>251.29354000000001</v>
      </c>
      <c r="F121" s="47">
        <v>251.29354000000001</v>
      </c>
    </row>
    <row r="122" spans="2:6" x14ac:dyDescent="0.3">
      <c r="B122" s="16">
        <v>53</v>
      </c>
      <c r="C122" s="33" t="s">
        <v>186</v>
      </c>
      <c r="D122" s="33" t="s">
        <v>122</v>
      </c>
      <c r="E122" s="47">
        <v>250.69541000000001</v>
      </c>
      <c r="F122" s="47">
        <v>250.69541000000001</v>
      </c>
    </row>
    <row r="123" spans="2:6" x14ac:dyDescent="0.3">
      <c r="B123" s="16">
        <v>54</v>
      </c>
      <c r="C123" s="33" t="s">
        <v>187</v>
      </c>
      <c r="D123" s="33" t="s">
        <v>122</v>
      </c>
      <c r="E123" s="47">
        <v>237.23365999999999</v>
      </c>
      <c r="F123" s="47">
        <v>237.23365999999999</v>
      </c>
    </row>
    <row r="124" spans="2:6" x14ac:dyDescent="0.3">
      <c r="B124" s="16">
        <v>55</v>
      </c>
      <c r="C124" s="33" t="s">
        <v>188</v>
      </c>
      <c r="D124" s="33" t="s">
        <v>122</v>
      </c>
      <c r="E124" s="47">
        <v>235.47023999999999</v>
      </c>
      <c r="F124" s="47">
        <v>235.47023999999999</v>
      </c>
    </row>
    <row r="125" spans="2:6" x14ac:dyDescent="0.3">
      <c r="B125" s="16">
        <v>56</v>
      </c>
      <c r="C125" s="33" t="s">
        <v>189</v>
      </c>
      <c r="D125" s="33" t="s">
        <v>122</v>
      </c>
      <c r="E125" s="47">
        <v>217.93006</v>
      </c>
      <c r="F125" s="47">
        <v>217.93006</v>
      </c>
    </row>
    <row r="126" spans="2:6" x14ac:dyDescent="0.3">
      <c r="B126" s="16">
        <v>57</v>
      </c>
      <c r="C126" s="33" t="s">
        <v>190</v>
      </c>
      <c r="D126" s="33" t="s">
        <v>122</v>
      </c>
      <c r="E126" s="47">
        <v>213.37843000000001</v>
      </c>
      <c r="F126" s="47">
        <v>213.37843000000001</v>
      </c>
    </row>
    <row r="127" spans="2:6" x14ac:dyDescent="0.3">
      <c r="B127" s="16">
        <v>58</v>
      </c>
      <c r="C127" s="33" t="s">
        <v>191</v>
      </c>
      <c r="D127" s="33" t="s">
        <v>122</v>
      </c>
      <c r="E127" s="47">
        <v>211.85968</v>
      </c>
      <c r="F127" s="47">
        <v>211.85968</v>
      </c>
    </row>
    <row r="128" spans="2:6" x14ac:dyDescent="0.3">
      <c r="B128" s="16">
        <v>59</v>
      </c>
      <c r="C128" s="33" t="s">
        <v>192</v>
      </c>
      <c r="D128" s="33" t="s">
        <v>122</v>
      </c>
      <c r="E128" s="47">
        <v>210.80799999999999</v>
      </c>
      <c r="F128" s="47">
        <v>210.80799999999999</v>
      </c>
    </row>
    <row r="129" spans="2:6" x14ac:dyDescent="0.3">
      <c r="B129" s="16">
        <v>60</v>
      </c>
      <c r="C129" s="33" t="s">
        <v>193</v>
      </c>
      <c r="D129" s="33" t="s">
        <v>122</v>
      </c>
      <c r="E129" s="47">
        <v>209.85498000000001</v>
      </c>
      <c r="F129" s="47">
        <v>209.85498000000001</v>
      </c>
    </row>
    <row r="130" spans="2:6" x14ac:dyDescent="0.3">
      <c r="B130" s="16">
        <v>61</v>
      </c>
      <c r="C130" s="33" t="s">
        <v>194</v>
      </c>
      <c r="D130" s="33" t="s">
        <v>122</v>
      </c>
      <c r="E130" s="47">
        <v>205.92444</v>
      </c>
      <c r="F130" s="47">
        <v>205.92444</v>
      </c>
    </row>
    <row r="131" spans="2:6" x14ac:dyDescent="0.3">
      <c r="B131" s="16">
        <v>62</v>
      </c>
      <c r="C131" s="33" t="s">
        <v>195</v>
      </c>
      <c r="D131" s="33" t="s">
        <v>122</v>
      </c>
      <c r="E131" s="47">
        <v>192.14520999999999</v>
      </c>
      <c r="F131" s="47">
        <v>192.14520999999999</v>
      </c>
    </row>
    <row r="132" spans="2:6" x14ac:dyDescent="0.3">
      <c r="B132" s="16">
        <v>63</v>
      </c>
      <c r="C132" s="33" t="s">
        <v>196</v>
      </c>
      <c r="D132" s="33" t="s">
        <v>122</v>
      </c>
      <c r="E132" s="47">
        <v>185.32508999999999</v>
      </c>
      <c r="F132" s="47">
        <v>185.32508999999999</v>
      </c>
    </row>
    <row r="133" spans="2:6" x14ac:dyDescent="0.3">
      <c r="B133" s="16">
        <v>64</v>
      </c>
      <c r="C133" s="33" t="s">
        <v>197</v>
      </c>
      <c r="D133" s="33" t="s">
        <v>122</v>
      </c>
      <c r="E133" s="47">
        <v>185.18885</v>
      </c>
      <c r="F133" s="47">
        <v>185.18885</v>
      </c>
    </row>
    <row r="134" spans="2:6" x14ac:dyDescent="0.3">
      <c r="B134" s="16">
        <v>65</v>
      </c>
      <c r="C134" s="33" t="s">
        <v>198</v>
      </c>
      <c r="D134" s="33" t="s">
        <v>122</v>
      </c>
      <c r="E134" s="47">
        <v>184.10551000000001</v>
      </c>
      <c r="F134" s="47">
        <v>184.10551000000001</v>
      </c>
    </row>
    <row r="135" spans="2:6" x14ac:dyDescent="0.3">
      <c r="B135" s="16">
        <v>66</v>
      </c>
      <c r="C135" s="33" t="s">
        <v>199</v>
      </c>
      <c r="D135" s="33" t="s">
        <v>122</v>
      </c>
      <c r="E135" s="47">
        <v>179.88803999999999</v>
      </c>
      <c r="F135" s="47">
        <v>179.88803999999999</v>
      </c>
    </row>
    <row r="136" spans="2:6" x14ac:dyDescent="0.3">
      <c r="B136" s="16">
        <v>67</v>
      </c>
      <c r="C136" s="33" t="s">
        <v>200</v>
      </c>
      <c r="D136" s="33" t="s">
        <v>122</v>
      </c>
      <c r="E136" s="47">
        <v>178.58510999999999</v>
      </c>
      <c r="F136" s="47">
        <v>178.58510999999999</v>
      </c>
    </row>
    <row r="137" spans="2:6" x14ac:dyDescent="0.3">
      <c r="B137" s="16">
        <v>68</v>
      </c>
      <c r="C137" s="33" t="s">
        <v>201</v>
      </c>
      <c r="D137" s="33" t="s">
        <v>122</v>
      </c>
      <c r="E137" s="47">
        <v>176.9545</v>
      </c>
      <c r="F137" s="47">
        <v>176.9545</v>
      </c>
    </row>
    <row r="138" spans="2:6" x14ac:dyDescent="0.3">
      <c r="B138" s="16">
        <v>69</v>
      </c>
      <c r="C138" s="33" t="s">
        <v>202</v>
      </c>
      <c r="D138" s="33" t="s">
        <v>122</v>
      </c>
      <c r="E138" s="47">
        <v>163.48571000000001</v>
      </c>
      <c r="F138" s="47">
        <v>163.48571000000001</v>
      </c>
    </row>
    <row r="139" spans="2:6" x14ac:dyDescent="0.3">
      <c r="B139" s="16">
        <v>70</v>
      </c>
      <c r="C139" s="33" t="s">
        <v>203</v>
      </c>
      <c r="D139" s="33" t="s">
        <v>122</v>
      </c>
      <c r="E139" s="47">
        <v>160.41235</v>
      </c>
      <c r="F139" s="47">
        <v>160.41235</v>
      </c>
    </row>
    <row r="140" spans="2:6" x14ac:dyDescent="0.3">
      <c r="B140" s="16">
        <v>71</v>
      </c>
      <c r="C140" s="33" t="s">
        <v>204</v>
      </c>
      <c r="D140" s="33" t="s">
        <v>122</v>
      </c>
      <c r="E140" s="47">
        <v>156.94628</v>
      </c>
      <c r="F140" s="47">
        <v>156.94628</v>
      </c>
    </row>
    <row r="141" spans="2:6" x14ac:dyDescent="0.3">
      <c r="B141" s="16">
        <v>72</v>
      </c>
      <c r="C141" s="33" t="s">
        <v>205</v>
      </c>
      <c r="D141" s="33" t="s">
        <v>122</v>
      </c>
      <c r="E141" s="47">
        <v>152.74305000000001</v>
      </c>
      <c r="F141" s="47">
        <v>152.74305000000001</v>
      </c>
    </row>
    <row r="142" spans="2:6" x14ac:dyDescent="0.3">
      <c r="B142" s="16">
        <v>73</v>
      </c>
      <c r="C142" s="33" t="s">
        <v>206</v>
      </c>
      <c r="D142" s="33" t="s">
        <v>122</v>
      </c>
      <c r="E142" s="47">
        <v>149.96369999999999</v>
      </c>
      <c r="F142" s="47">
        <v>149.96369999999999</v>
      </c>
    </row>
    <row r="143" spans="2:6" x14ac:dyDescent="0.3">
      <c r="B143" s="16">
        <v>74</v>
      </c>
      <c r="C143" s="33" t="s">
        <v>207</v>
      </c>
      <c r="D143" s="33" t="s">
        <v>122</v>
      </c>
      <c r="E143" s="47">
        <v>142.52429000000001</v>
      </c>
      <c r="F143" s="47">
        <v>142.52429000000001</v>
      </c>
    </row>
    <row r="144" spans="2:6" x14ac:dyDescent="0.3">
      <c r="B144" s="16">
        <v>75</v>
      </c>
      <c r="C144" s="33" t="s">
        <v>208</v>
      </c>
      <c r="D144" s="33" t="s">
        <v>122</v>
      </c>
      <c r="E144" s="47">
        <v>136.09233</v>
      </c>
      <c r="F144" s="47">
        <v>136.09233</v>
      </c>
    </row>
    <row r="145" spans="2:6" x14ac:dyDescent="0.3">
      <c r="B145" s="16">
        <v>76</v>
      </c>
      <c r="C145" s="33" t="s">
        <v>209</v>
      </c>
      <c r="D145" s="33" t="s">
        <v>122</v>
      </c>
      <c r="E145" s="47">
        <v>135.796055</v>
      </c>
      <c r="F145" s="47">
        <v>135.796055</v>
      </c>
    </row>
    <row r="146" spans="2:6" x14ac:dyDescent="0.3">
      <c r="B146" s="16">
        <v>77</v>
      </c>
      <c r="C146" s="33" t="s">
        <v>210</v>
      </c>
      <c r="D146" s="33" t="s">
        <v>122</v>
      </c>
      <c r="E146" s="47">
        <v>109.97194</v>
      </c>
      <c r="F146" s="47">
        <v>109.97194</v>
      </c>
    </row>
    <row r="147" spans="2:6" x14ac:dyDescent="0.3">
      <c r="B147" s="16">
        <v>78</v>
      </c>
      <c r="C147" s="33" t="s">
        <v>211</v>
      </c>
      <c r="D147" s="33" t="s">
        <v>122</v>
      </c>
      <c r="E147" s="47">
        <v>109.82329</v>
      </c>
      <c r="F147" s="47">
        <v>109.82329</v>
      </c>
    </row>
    <row r="148" spans="2:6" x14ac:dyDescent="0.3">
      <c r="B148" s="16">
        <v>79</v>
      </c>
      <c r="C148" s="33" t="s">
        <v>212</v>
      </c>
      <c r="D148" s="33" t="s">
        <v>122</v>
      </c>
      <c r="E148" s="47">
        <v>109.57581999999999</v>
      </c>
      <c r="F148" s="47">
        <v>109.57581999999999</v>
      </c>
    </row>
    <row r="149" spans="2:6" x14ac:dyDescent="0.3">
      <c r="B149" s="16">
        <v>80</v>
      </c>
      <c r="C149" s="33" t="s">
        <v>213</v>
      </c>
      <c r="D149" s="33" t="s">
        <v>122</v>
      </c>
      <c r="E149" s="47">
        <v>107.43454</v>
      </c>
      <c r="F149" s="47">
        <v>107.43454</v>
      </c>
    </row>
    <row r="150" spans="2:6" x14ac:dyDescent="0.3">
      <c r="B150" s="16">
        <v>81</v>
      </c>
      <c r="C150" s="33" t="s">
        <v>214</v>
      </c>
      <c r="D150" s="33" t="s">
        <v>122</v>
      </c>
      <c r="E150" s="47">
        <v>107.06245</v>
      </c>
      <c r="F150" s="47">
        <v>107.06245</v>
      </c>
    </row>
    <row r="151" spans="2:6" x14ac:dyDescent="0.3">
      <c r="B151" s="16">
        <v>82</v>
      </c>
      <c r="C151" s="33" t="s">
        <v>215</v>
      </c>
      <c r="D151" s="33" t="s">
        <v>122</v>
      </c>
      <c r="E151" s="47">
        <v>106.94937</v>
      </c>
      <c r="F151" s="47">
        <v>106.94937</v>
      </c>
    </row>
    <row r="152" spans="2:6" x14ac:dyDescent="0.3">
      <c r="B152" s="16">
        <v>83</v>
      </c>
      <c r="C152" s="33" t="s">
        <v>216</v>
      </c>
      <c r="D152" s="33" t="s">
        <v>122</v>
      </c>
      <c r="E152" s="47">
        <v>104.25384</v>
      </c>
      <c r="F152" s="47">
        <v>104.25384</v>
      </c>
    </row>
    <row r="153" spans="2:6" x14ac:dyDescent="0.3">
      <c r="B153" s="16">
        <v>84</v>
      </c>
      <c r="C153" s="33" t="s">
        <v>217</v>
      </c>
      <c r="D153" s="33" t="s">
        <v>122</v>
      </c>
      <c r="E153" s="47">
        <v>103.06901000000001</v>
      </c>
      <c r="F153" s="47">
        <v>103.06901000000001</v>
      </c>
    </row>
    <row r="154" spans="2:6" x14ac:dyDescent="0.3">
      <c r="B154" s="16">
        <v>85</v>
      </c>
      <c r="C154" s="33" t="s">
        <v>218</v>
      </c>
      <c r="D154" s="33" t="s">
        <v>122</v>
      </c>
      <c r="E154" s="47">
        <v>100.19786000000001</v>
      </c>
      <c r="F154" s="47">
        <v>100.19786000000001</v>
      </c>
    </row>
    <row r="155" spans="2:6" x14ac:dyDescent="0.3">
      <c r="B155" s="16">
        <v>86</v>
      </c>
      <c r="C155" s="33" t="s">
        <v>219</v>
      </c>
      <c r="D155" s="33" t="s">
        <v>122</v>
      </c>
      <c r="E155" s="47">
        <v>99.664600000000007</v>
      </c>
      <c r="F155" s="47">
        <v>99.664600000000007</v>
      </c>
    </row>
    <row r="156" spans="2:6" x14ac:dyDescent="0.3">
      <c r="B156" s="16">
        <v>87</v>
      </c>
      <c r="C156" s="33" t="s">
        <v>220</v>
      </c>
      <c r="D156" s="33" t="s">
        <v>122</v>
      </c>
      <c r="E156" s="47">
        <v>99.155230000000003</v>
      </c>
      <c r="F156" s="47">
        <v>99.155230000000003</v>
      </c>
    </row>
    <row r="157" spans="2:6" x14ac:dyDescent="0.3">
      <c r="B157" s="16">
        <v>88</v>
      </c>
      <c r="C157" s="33" t="s">
        <v>221</v>
      </c>
      <c r="D157" s="33" t="s">
        <v>122</v>
      </c>
      <c r="E157" s="47">
        <v>98.818200000000004</v>
      </c>
      <c r="F157" s="47">
        <v>98.818200000000004</v>
      </c>
    </row>
    <row r="158" spans="2:6" x14ac:dyDescent="0.3">
      <c r="B158" s="16">
        <v>89</v>
      </c>
      <c r="C158" s="33" t="s">
        <v>222</v>
      </c>
      <c r="D158" s="33" t="s">
        <v>122</v>
      </c>
      <c r="E158" s="47">
        <v>95.629300000000001</v>
      </c>
      <c r="F158" s="47">
        <v>95.629300000000001</v>
      </c>
    </row>
    <row r="159" spans="2:6" x14ac:dyDescent="0.3">
      <c r="B159" s="16">
        <v>90</v>
      </c>
      <c r="C159" s="33" t="s">
        <v>223</v>
      </c>
      <c r="D159" s="33" t="s">
        <v>122</v>
      </c>
      <c r="E159" s="47">
        <v>94.208399999999997</v>
      </c>
      <c r="F159" s="47">
        <v>94.208399999999997</v>
      </c>
    </row>
    <row r="160" spans="2:6" x14ac:dyDescent="0.3">
      <c r="B160" s="16">
        <v>91</v>
      </c>
      <c r="C160" s="33" t="s">
        <v>224</v>
      </c>
      <c r="D160" s="33" t="s">
        <v>122</v>
      </c>
      <c r="E160" s="47">
        <v>93.383489999999995</v>
      </c>
      <c r="F160" s="47">
        <v>93.383489999999995</v>
      </c>
    </row>
    <row r="161" spans="2:6" x14ac:dyDescent="0.3">
      <c r="B161" s="16">
        <v>92</v>
      </c>
      <c r="C161" s="33" t="s">
        <v>225</v>
      </c>
      <c r="D161" s="33" t="s">
        <v>122</v>
      </c>
      <c r="E161" s="47">
        <v>90.435159999999996</v>
      </c>
      <c r="F161" s="47">
        <v>90.435159999999996</v>
      </c>
    </row>
    <row r="162" spans="2:6" x14ac:dyDescent="0.3">
      <c r="B162" s="16">
        <v>93</v>
      </c>
      <c r="C162" s="33" t="s">
        <v>226</v>
      </c>
      <c r="D162" s="33" t="s">
        <v>122</v>
      </c>
      <c r="E162" s="47">
        <v>88.640910000000005</v>
      </c>
      <c r="F162" s="47">
        <v>88.640910000000005</v>
      </c>
    </row>
    <row r="163" spans="2:6" x14ac:dyDescent="0.3">
      <c r="B163" s="16">
        <v>94</v>
      </c>
      <c r="C163" s="33" t="s">
        <v>227</v>
      </c>
      <c r="D163" s="33" t="s">
        <v>122</v>
      </c>
      <c r="E163" s="47">
        <v>86.003349999999998</v>
      </c>
      <c r="F163" s="47">
        <v>86.003349999999998</v>
      </c>
    </row>
    <row r="164" spans="2:6" x14ac:dyDescent="0.3">
      <c r="B164" s="16">
        <v>95</v>
      </c>
      <c r="C164" s="33" t="s">
        <v>228</v>
      </c>
      <c r="D164" s="33" t="s">
        <v>122</v>
      </c>
      <c r="E164" s="47">
        <v>79.801289999999995</v>
      </c>
      <c r="F164" s="47">
        <v>79.801289999999995</v>
      </c>
    </row>
    <row r="165" spans="2:6" x14ac:dyDescent="0.3">
      <c r="B165" s="16">
        <v>96</v>
      </c>
      <c r="C165" s="33" t="s">
        <v>229</v>
      </c>
      <c r="D165" s="33" t="s">
        <v>122</v>
      </c>
      <c r="E165" s="47">
        <v>78.17971</v>
      </c>
      <c r="F165" s="47">
        <v>78.17971</v>
      </c>
    </row>
    <row r="166" spans="2:6" x14ac:dyDescent="0.3">
      <c r="B166" s="16">
        <v>97</v>
      </c>
      <c r="C166" s="33" t="s">
        <v>230</v>
      </c>
      <c r="D166" s="33" t="s">
        <v>122</v>
      </c>
      <c r="E166" s="47">
        <v>75.781807999999998</v>
      </c>
      <c r="F166" s="47">
        <v>75.781807999999998</v>
      </c>
    </row>
    <row r="167" spans="2:6" x14ac:dyDescent="0.3">
      <c r="B167" s="16">
        <v>98</v>
      </c>
      <c r="C167" s="33" t="s">
        <v>231</v>
      </c>
      <c r="D167" s="33" t="s">
        <v>122</v>
      </c>
      <c r="E167" s="47">
        <v>71.957359999999994</v>
      </c>
      <c r="F167" s="47">
        <v>71.957359999999994</v>
      </c>
    </row>
    <row r="168" spans="2:6" x14ac:dyDescent="0.3">
      <c r="B168" s="16">
        <v>99</v>
      </c>
      <c r="C168" s="33" t="s">
        <v>232</v>
      </c>
      <c r="D168" s="33" t="s">
        <v>122</v>
      </c>
      <c r="E168" s="47">
        <v>68.567000000000007</v>
      </c>
      <c r="F168" s="47">
        <v>68.567000000000007</v>
      </c>
    </row>
    <row r="169" spans="2:6" x14ac:dyDescent="0.3">
      <c r="B169" s="16">
        <v>100</v>
      </c>
      <c r="C169" s="33" t="s">
        <v>233</v>
      </c>
      <c r="D169" s="33" t="s">
        <v>122</v>
      </c>
      <c r="E169" s="47">
        <v>64.858869999999996</v>
      </c>
      <c r="F169" s="47">
        <v>64.858869999999996</v>
      </c>
    </row>
    <row r="170" spans="2:6" x14ac:dyDescent="0.3">
      <c r="B170" s="16">
        <v>101</v>
      </c>
      <c r="C170" s="33" t="s">
        <v>234</v>
      </c>
      <c r="D170" s="33" t="s">
        <v>122</v>
      </c>
      <c r="E170" s="47">
        <v>61.129809999999999</v>
      </c>
      <c r="F170" s="47">
        <v>61.129809999999999</v>
      </c>
    </row>
    <row r="171" spans="2:6" x14ac:dyDescent="0.3">
      <c r="B171" s="16">
        <v>102</v>
      </c>
      <c r="C171" s="33" t="s">
        <v>235</v>
      </c>
      <c r="D171" s="33" t="s">
        <v>122</v>
      </c>
      <c r="E171" s="47">
        <v>58.792400000000001</v>
      </c>
      <c r="F171" s="47">
        <v>58.792400000000001</v>
      </c>
    </row>
    <row r="172" spans="2:6" x14ac:dyDescent="0.3">
      <c r="B172" s="16">
        <v>103</v>
      </c>
      <c r="C172" s="33" t="s">
        <v>236</v>
      </c>
      <c r="D172" s="33" t="s">
        <v>122</v>
      </c>
      <c r="E172" s="47">
        <v>52.161020000000001</v>
      </c>
      <c r="F172" s="47">
        <v>52.161020000000001</v>
      </c>
    </row>
    <row r="173" spans="2:6" x14ac:dyDescent="0.3">
      <c r="B173" s="16">
        <v>104</v>
      </c>
      <c r="C173" s="33" t="s">
        <v>237</v>
      </c>
      <c r="D173" s="33" t="s">
        <v>122</v>
      </c>
      <c r="E173" s="47">
        <v>50.80603</v>
      </c>
      <c r="F173" s="47">
        <v>50.80603</v>
      </c>
    </row>
    <row r="174" spans="2:6" x14ac:dyDescent="0.3">
      <c r="B174" s="16">
        <v>105</v>
      </c>
      <c r="C174" s="33" t="s">
        <v>238</v>
      </c>
      <c r="D174" s="33" t="s">
        <v>122</v>
      </c>
      <c r="E174" s="47">
        <v>48.11824</v>
      </c>
      <c r="F174" s="47">
        <v>48.11824</v>
      </c>
    </row>
    <row r="175" spans="2:6" x14ac:dyDescent="0.3">
      <c r="B175" s="16">
        <v>106</v>
      </c>
      <c r="C175" s="33" t="s">
        <v>239</v>
      </c>
      <c r="D175" s="33" t="s">
        <v>122</v>
      </c>
      <c r="E175" s="47">
        <v>48.068860000000001</v>
      </c>
      <c r="F175" s="47">
        <v>48.068860000000001</v>
      </c>
    </row>
    <row r="176" spans="2:6" x14ac:dyDescent="0.3">
      <c r="B176" s="16">
        <v>107</v>
      </c>
      <c r="C176" s="33" t="s">
        <v>240</v>
      </c>
      <c r="D176" s="33" t="s">
        <v>122</v>
      </c>
      <c r="E176" s="47">
        <v>47.615459999999999</v>
      </c>
      <c r="F176" s="47">
        <v>47.615459999999999</v>
      </c>
    </row>
    <row r="177" spans="2:6" x14ac:dyDescent="0.3">
      <c r="B177" s="16">
        <v>108</v>
      </c>
      <c r="C177" s="33" t="s">
        <v>241</v>
      </c>
      <c r="D177" s="33" t="s">
        <v>122</v>
      </c>
      <c r="E177" s="47">
        <v>47.188830000000003</v>
      </c>
      <c r="F177" s="47">
        <v>47.188830000000003</v>
      </c>
    </row>
    <row r="178" spans="2:6" x14ac:dyDescent="0.3">
      <c r="B178" s="16">
        <v>109</v>
      </c>
      <c r="C178" s="33" t="s">
        <v>242</v>
      </c>
      <c r="D178" s="33" t="s">
        <v>122</v>
      </c>
      <c r="E178" s="47">
        <v>46.677529999999997</v>
      </c>
      <c r="F178" s="47">
        <v>46.677529999999997</v>
      </c>
    </row>
    <row r="179" spans="2:6" x14ac:dyDescent="0.3">
      <c r="B179" s="16">
        <v>110</v>
      </c>
      <c r="C179" s="33" t="s">
        <v>243</v>
      </c>
      <c r="D179" s="33" t="s">
        <v>122</v>
      </c>
      <c r="E179" s="47">
        <v>45.25479</v>
      </c>
      <c r="F179" s="47">
        <v>45.25479</v>
      </c>
    </row>
    <row r="180" spans="2:6" x14ac:dyDescent="0.3">
      <c r="B180" s="16">
        <v>111</v>
      </c>
      <c r="C180" s="33" t="s">
        <v>244</v>
      </c>
      <c r="D180" s="33" t="s">
        <v>122</v>
      </c>
      <c r="E180" s="47">
        <v>42.58493</v>
      </c>
      <c r="F180" s="47">
        <v>42.58493</v>
      </c>
    </row>
    <row r="181" spans="2:6" x14ac:dyDescent="0.3">
      <c r="B181" s="16">
        <v>112</v>
      </c>
      <c r="C181" s="33" t="s">
        <v>245</v>
      </c>
      <c r="D181" s="33" t="s">
        <v>122</v>
      </c>
      <c r="E181" s="47">
        <v>42.081479999999999</v>
      </c>
      <c r="F181" s="47">
        <v>42.081479999999999</v>
      </c>
    </row>
    <row r="182" spans="2:6" x14ac:dyDescent="0.3">
      <c r="B182" s="16">
        <v>113</v>
      </c>
      <c r="C182" s="33" t="s">
        <v>246</v>
      </c>
      <c r="D182" s="33" t="s">
        <v>122</v>
      </c>
      <c r="E182" s="47">
        <v>41.200699999999998</v>
      </c>
      <c r="F182" s="47">
        <v>41.200699999999998</v>
      </c>
    </row>
    <row r="183" spans="2:6" x14ac:dyDescent="0.3">
      <c r="B183" s="16">
        <v>114</v>
      </c>
      <c r="C183" s="33" t="s">
        <v>247</v>
      </c>
      <c r="D183" s="33" t="s">
        <v>122</v>
      </c>
      <c r="E183" s="47">
        <v>40.888509999999997</v>
      </c>
      <c r="F183" s="47">
        <v>40.888509999999997</v>
      </c>
    </row>
    <row r="184" spans="2:6" x14ac:dyDescent="0.3">
      <c r="B184" s="16">
        <v>115</v>
      </c>
      <c r="C184" s="33" t="s">
        <v>248</v>
      </c>
      <c r="D184" s="33" t="s">
        <v>122</v>
      </c>
      <c r="E184" s="47">
        <v>38.622199999999999</v>
      </c>
      <c r="F184" s="47">
        <v>38.622199999999999</v>
      </c>
    </row>
    <row r="185" spans="2:6" x14ac:dyDescent="0.3">
      <c r="B185" s="16">
        <v>116</v>
      </c>
      <c r="C185" s="33" t="s">
        <v>249</v>
      </c>
      <c r="D185" s="33" t="s">
        <v>122</v>
      </c>
      <c r="E185" s="47">
        <v>34.71875</v>
      </c>
      <c r="F185" s="47">
        <v>34.71875</v>
      </c>
    </row>
    <row r="186" spans="2:6" x14ac:dyDescent="0.3">
      <c r="B186" s="16">
        <v>117</v>
      </c>
      <c r="C186" s="33" t="s">
        <v>250</v>
      </c>
      <c r="D186" s="33" t="s">
        <v>122</v>
      </c>
      <c r="E186" s="47">
        <v>34.074309999999997</v>
      </c>
      <c r="F186" s="47">
        <v>34.074309999999997</v>
      </c>
    </row>
    <row r="187" spans="2:6" x14ac:dyDescent="0.3">
      <c r="B187" s="16">
        <v>118</v>
      </c>
      <c r="C187" s="33" t="s">
        <v>251</v>
      </c>
      <c r="D187" s="33" t="s">
        <v>122</v>
      </c>
      <c r="E187" s="47">
        <v>33.714860000000002</v>
      </c>
      <c r="F187" s="47">
        <v>33.714860000000002</v>
      </c>
    </row>
    <row r="188" spans="2:6" x14ac:dyDescent="0.3">
      <c r="B188" s="16">
        <v>119</v>
      </c>
      <c r="C188" s="33" t="s">
        <v>252</v>
      </c>
      <c r="D188" s="33" t="s">
        <v>122</v>
      </c>
      <c r="E188" s="47">
        <v>33.597340000000003</v>
      </c>
      <c r="F188" s="47">
        <v>33.597340000000003</v>
      </c>
    </row>
    <row r="189" spans="2:6" x14ac:dyDescent="0.3">
      <c r="B189" s="16">
        <v>120</v>
      </c>
      <c r="C189" s="33" t="s">
        <v>253</v>
      </c>
      <c r="D189" s="33" t="s">
        <v>122</v>
      </c>
      <c r="E189" s="47">
        <v>31.905799999999999</v>
      </c>
      <c r="F189" s="47">
        <v>31.905799999999999</v>
      </c>
    </row>
    <row r="190" spans="2:6" x14ac:dyDescent="0.3">
      <c r="B190" s="16">
        <v>121</v>
      </c>
      <c r="C190" s="33" t="s">
        <v>254</v>
      </c>
      <c r="D190" s="33" t="s">
        <v>122</v>
      </c>
      <c r="E190" s="47">
        <v>31.741389999999999</v>
      </c>
      <c r="F190" s="47">
        <v>31.741389999999999</v>
      </c>
    </row>
    <row r="191" spans="2:6" x14ac:dyDescent="0.3">
      <c r="B191" s="16">
        <v>122</v>
      </c>
      <c r="C191" s="33" t="s">
        <v>255</v>
      </c>
      <c r="D191" s="33" t="s">
        <v>122</v>
      </c>
      <c r="E191" s="47">
        <v>30.783619999999999</v>
      </c>
      <c r="F191" s="47">
        <v>30.783619999999999</v>
      </c>
    </row>
    <row r="192" spans="2:6" x14ac:dyDescent="0.3">
      <c r="B192" s="16">
        <v>123</v>
      </c>
      <c r="C192" s="33" t="s">
        <v>256</v>
      </c>
      <c r="D192" s="33" t="s">
        <v>122</v>
      </c>
      <c r="E192" s="47">
        <v>30.102029999999999</v>
      </c>
      <c r="F192" s="47">
        <v>30.102029999999999</v>
      </c>
    </row>
    <row r="193" spans="2:6" x14ac:dyDescent="0.3">
      <c r="B193" s="16">
        <v>124</v>
      </c>
      <c r="C193" s="33" t="s">
        <v>257</v>
      </c>
      <c r="D193" s="33" t="s">
        <v>122</v>
      </c>
      <c r="E193" s="47">
        <v>28.634129999999999</v>
      </c>
      <c r="F193" s="47">
        <v>28.634129999999999</v>
      </c>
    </row>
    <row r="194" spans="2:6" x14ac:dyDescent="0.3">
      <c r="B194" s="16">
        <v>125</v>
      </c>
      <c r="C194" s="33" t="s">
        <v>258</v>
      </c>
      <c r="D194" s="33" t="s">
        <v>122</v>
      </c>
      <c r="E194" s="47">
        <v>28.553270000000001</v>
      </c>
      <c r="F194" s="47">
        <v>28.553270000000001</v>
      </c>
    </row>
    <row r="195" spans="2:6" x14ac:dyDescent="0.3">
      <c r="B195" s="16">
        <v>126</v>
      </c>
      <c r="C195" s="33" t="s">
        <v>259</v>
      </c>
      <c r="D195" s="33" t="s">
        <v>122</v>
      </c>
      <c r="E195" s="47">
        <v>25.547609999999999</v>
      </c>
      <c r="F195" s="47">
        <v>25.547609999999999</v>
      </c>
    </row>
    <row r="196" spans="2:6" x14ac:dyDescent="0.3">
      <c r="B196" s="16">
        <v>127</v>
      </c>
      <c r="C196" s="33" t="s">
        <v>260</v>
      </c>
      <c r="D196" s="33" t="s">
        <v>122</v>
      </c>
      <c r="E196" s="47">
        <v>25.022659999999998</v>
      </c>
      <c r="F196" s="47">
        <v>25.022659999999998</v>
      </c>
    </row>
    <row r="197" spans="2:6" x14ac:dyDescent="0.3">
      <c r="B197" s="16">
        <v>128</v>
      </c>
      <c r="C197" s="33" t="s">
        <v>261</v>
      </c>
      <c r="D197" s="33" t="s">
        <v>122</v>
      </c>
      <c r="E197" s="47">
        <v>24.873090000000001</v>
      </c>
      <c r="F197" s="47">
        <v>24.873090000000001</v>
      </c>
    </row>
    <row r="198" spans="2:6" x14ac:dyDescent="0.3">
      <c r="B198" s="16">
        <v>129</v>
      </c>
      <c r="C198" s="33" t="s">
        <v>262</v>
      </c>
      <c r="D198" s="33" t="s">
        <v>122</v>
      </c>
      <c r="E198" s="47">
        <v>24.35576</v>
      </c>
      <c r="F198" s="47">
        <v>24.35576</v>
      </c>
    </row>
    <row r="199" spans="2:6" x14ac:dyDescent="0.3">
      <c r="B199" s="16">
        <v>130</v>
      </c>
      <c r="C199" s="33" t="s">
        <v>263</v>
      </c>
      <c r="D199" s="33" t="s">
        <v>122</v>
      </c>
      <c r="E199" s="47">
        <v>23.964369999999999</v>
      </c>
      <c r="F199" s="47">
        <v>23.964369999999999</v>
      </c>
    </row>
    <row r="200" spans="2:6" x14ac:dyDescent="0.3">
      <c r="B200" s="16">
        <v>131</v>
      </c>
      <c r="C200" s="33" t="s">
        <v>264</v>
      </c>
      <c r="D200" s="33" t="s">
        <v>122</v>
      </c>
      <c r="E200" s="47">
        <v>21.552230000000002</v>
      </c>
      <c r="F200" s="47">
        <v>21.552230000000002</v>
      </c>
    </row>
    <row r="201" spans="2:6" x14ac:dyDescent="0.3">
      <c r="B201" s="16">
        <v>132</v>
      </c>
      <c r="C201" s="33" t="s">
        <v>265</v>
      </c>
      <c r="D201" s="33" t="s">
        <v>122</v>
      </c>
      <c r="E201" s="47">
        <v>16.631139999999998</v>
      </c>
      <c r="F201" s="47">
        <v>16.631139999999998</v>
      </c>
    </row>
    <row r="202" spans="2:6" x14ac:dyDescent="0.3">
      <c r="B202" s="16">
        <v>133</v>
      </c>
      <c r="C202" s="33" t="s">
        <v>266</v>
      </c>
      <c r="D202" s="33" t="s">
        <v>122</v>
      </c>
      <c r="E202" s="47">
        <v>16.528400000000001</v>
      </c>
      <c r="F202" s="47">
        <v>16.528400000000001</v>
      </c>
    </row>
    <row r="203" spans="2:6" x14ac:dyDescent="0.3">
      <c r="B203" s="16">
        <v>134</v>
      </c>
      <c r="C203" s="33" t="s">
        <v>267</v>
      </c>
      <c r="D203" s="33" t="s">
        <v>122</v>
      </c>
      <c r="E203" s="47">
        <v>16.464279999999999</v>
      </c>
      <c r="F203" s="47">
        <v>16.464279999999999</v>
      </c>
    </row>
    <row r="204" spans="2:6" x14ac:dyDescent="0.3">
      <c r="B204" s="16">
        <v>135</v>
      </c>
      <c r="C204" s="33" t="s">
        <v>268</v>
      </c>
      <c r="D204" s="33" t="s">
        <v>122</v>
      </c>
      <c r="E204" s="47">
        <v>16.219200000000001</v>
      </c>
      <c r="F204" s="47">
        <v>16.219200000000001</v>
      </c>
    </row>
    <row r="205" spans="2:6" x14ac:dyDescent="0.3">
      <c r="B205" s="16">
        <v>136</v>
      </c>
      <c r="C205" s="33" t="s">
        <v>269</v>
      </c>
      <c r="D205" s="33" t="s">
        <v>122</v>
      </c>
      <c r="E205" s="47">
        <v>15.35148</v>
      </c>
      <c r="F205" s="47">
        <v>15.35148</v>
      </c>
    </row>
    <row r="206" spans="2:6" x14ac:dyDescent="0.3">
      <c r="B206" s="16">
        <v>137</v>
      </c>
      <c r="C206" s="33" t="s">
        <v>270</v>
      </c>
      <c r="D206" s="33" t="s">
        <v>122</v>
      </c>
      <c r="E206" s="47">
        <v>13.746499999999999</v>
      </c>
      <c r="F206" s="47">
        <v>13.746499999999999</v>
      </c>
    </row>
    <row r="207" spans="2:6" x14ac:dyDescent="0.3">
      <c r="B207" s="16">
        <v>138</v>
      </c>
      <c r="C207" s="33" t="s">
        <v>271</v>
      </c>
      <c r="D207" s="33" t="s">
        <v>122</v>
      </c>
      <c r="E207" s="47">
        <v>8.9094099999999994</v>
      </c>
      <c r="F207" s="47">
        <v>8.9094099999999994</v>
      </c>
    </row>
    <row r="208" spans="2:6" x14ac:dyDescent="0.3">
      <c r="B208" s="16">
        <v>139</v>
      </c>
      <c r="C208" s="33" t="s">
        <v>272</v>
      </c>
      <c r="D208" s="33" t="s">
        <v>122</v>
      </c>
      <c r="E208" s="47">
        <v>7.6369999999999996</v>
      </c>
      <c r="F208" s="47">
        <v>7.6369999999999996</v>
      </c>
    </row>
    <row r="209" spans="2:13" x14ac:dyDescent="0.3">
      <c r="B209" s="16">
        <v>140</v>
      </c>
      <c r="C209" s="33" t="s">
        <v>273</v>
      </c>
      <c r="D209" s="33" t="s">
        <v>122</v>
      </c>
      <c r="E209" s="47">
        <v>6.0472999999999999</v>
      </c>
      <c r="F209" s="47">
        <v>6.0472999999999999</v>
      </c>
    </row>
    <row r="210" spans="2:13" x14ac:dyDescent="0.3">
      <c r="B210" s="16">
        <v>141</v>
      </c>
      <c r="C210" s="33" t="s">
        <v>274</v>
      </c>
      <c r="D210" s="33" t="s">
        <v>122</v>
      </c>
      <c r="E210" s="47">
        <v>5.9815899999999997</v>
      </c>
      <c r="F210" s="47">
        <v>5.9815899999999997</v>
      </c>
    </row>
    <row r="211" spans="2:13" x14ac:dyDescent="0.3">
      <c r="B211" s="16">
        <v>142</v>
      </c>
      <c r="C211" s="33" t="s">
        <v>275</v>
      </c>
      <c r="D211" s="33" t="s">
        <v>122</v>
      </c>
      <c r="E211" s="47">
        <v>3.9724200000000001</v>
      </c>
      <c r="F211" s="47">
        <v>3.9724200000000001</v>
      </c>
    </row>
    <row r="212" spans="2:13" x14ac:dyDescent="0.3">
      <c r="B212" s="35" t="s">
        <v>75</v>
      </c>
      <c r="C212" s="26"/>
      <c r="D212" s="36"/>
      <c r="E212" s="48">
        <f>SUM(E70:E211)</f>
        <v>47091.123548999989</v>
      </c>
      <c r="F212" s="48">
        <f>SUM(F70:F211)</f>
        <v>47091.123548999989</v>
      </c>
    </row>
    <row r="213" spans="2:13" ht="76.5" customHeight="1" x14ac:dyDescent="0.3">
      <c r="B213" s="55" t="s">
        <v>90</v>
      </c>
      <c r="C213" s="56"/>
      <c r="D213" s="56"/>
      <c r="E213" s="56"/>
      <c r="F213" s="56"/>
      <c r="G213" s="56"/>
      <c r="H213" s="56"/>
      <c r="I213" s="56"/>
      <c r="J213" s="56"/>
      <c r="K213" s="56"/>
      <c r="L213" s="56"/>
      <c r="M213" s="56"/>
    </row>
    <row r="215" spans="2:13" x14ac:dyDescent="0.3">
      <c r="B215" s="34" t="s">
        <v>91</v>
      </c>
      <c r="C215" s="34" t="s">
        <v>92</v>
      </c>
      <c r="D215" s="34" t="s">
        <v>93</v>
      </c>
      <c r="E215" s="34" t="s">
        <v>94</v>
      </c>
      <c r="F215" s="34" t="s">
        <v>95</v>
      </c>
      <c r="G215" s="34" t="s">
        <v>96</v>
      </c>
      <c r="H215" s="34" t="s">
        <v>97</v>
      </c>
      <c r="I215" s="34" t="s">
        <v>98</v>
      </c>
      <c r="J215" s="34" t="s">
        <v>99</v>
      </c>
      <c r="K215" s="34" t="s">
        <v>100</v>
      </c>
    </row>
    <row r="216" spans="2:13" x14ac:dyDescent="0.3">
      <c r="B216" s="34" t="s">
        <v>101</v>
      </c>
      <c r="C216" s="34" t="s">
        <v>102</v>
      </c>
      <c r="D216" s="34" t="s">
        <v>103</v>
      </c>
      <c r="E216" s="34" t="s">
        <v>104</v>
      </c>
      <c r="F216" s="34" t="s">
        <v>105</v>
      </c>
      <c r="G216" s="34" t="s">
        <v>106</v>
      </c>
      <c r="H216" s="34" t="s">
        <v>107</v>
      </c>
      <c r="I216" s="34" t="s">
        <v>108</v>
      </c>
      <c r="J216" s="34" t="s">
        <v>109</v>
      </c>
      <c r="K216" s="34" t="s">
        <v>110</v>
      </c>
    </row>
    <row r="217" spans="2:13" x14ac:dyDescent="0.3">
      <c r="B217" s="34" t="s">
        <v>111</v>
      </c>
      <c r="C217" s="34" t="s">
        <v>112</v>
      </c>
      <c r="D217" s="34" t="s">
        <v>113</v>
      </c>
      <c r="E217" s="34" t="s">
        <v>114</v>
      </c>
      <c r="F217" s="34" t="s">
        <v>115</v>
      </c>
      <c r="G217" s="34" t="s">
        <v>116</v>
      </c>
      <c r="H217" s="34" t="s">
        <v>117</v>
      </c>
      <c r="I217" s="34" t="s">
        <v>118</v>
      </c>
      <c r="J217" s="34" t="s">
        <v>119</v>
      </c>
      <c r="K217" s="34" t="s">
        <v>120</v>
      </c>
      <c r="L217" s="34" t="s">
        <v>47</v>
      </c>
    </row>
    <row r="218" spans="2:13" x14ac:dyDescent="0.3">
      <c r="B218" s="34" t="s">
        <v>121</v>
      </c>
      <c r="C218" s="34" t="s">
        <v>122</v>
      </c>
      <c r="D218" s="34" t="s">
        <v>123</v>
      </c>
      <c r="E218" s="34" t="s">
        <v>124</v>
      </c>
      <c r="F218" s="34" t="s">
        <v>125</v>
      </c>
      <c r="G218" s="34" t="s">
        <v>126</v>
      </c>
      <c r="H218" s="34" t="s">
        <v>127</v>
      </c>
      <c r="I218" s="34" t="s">
        <v>128</v>
      </c>
      <c r="J218" s="34" t="s">
        <v>129</v>
      </c>
      <c r="K218" s="34" t="s">
        <v>130</v>
      </c>
      <c r="L218" s="34" t="s">
        <v>47</v>
      </c>
    </row>
  </sheetData>
  <mergeCells count="23">
    <mergeCell ref="B17:M17"/>
    <mergeCell ref="B3:P3"/>
    <mergeCell ref="B11:C11"/>
    <mergeCell ref="B12:C12"/>
    <mergeCell ref="B13:C13"/>
    <mergeCell ref="B16:M16"/>
    <mergeCell ref="B51:M51"/>
    <mergeCell ref="B18:M18"/>
    <mergeCell ref="D43:M43"/>
    <mergeCell ref="B44:M44"/>
    <mergeCell ref="D45:M45"/>
    <mergeCell ref="B46:M46"/>
    <mergeCell ref="B47:M47"/>
    <mergeCell ref="B48:M48"/>
    <mergeCell ref="B49:M49"/>
    <mergeCell ref="D50:M50"/>
    <mergeCell ref="B213:M213"/>
    <mergeCell ref="D52:M52"/>
    <mergeCell ref="B53:M53"/>
    <mergeCell ref="D54:M54"/>
    <mergeCell ref="B56:M56"/>
    <mergeCell ref="B64:Q64"/>
    <mergeCell ref="B66:Q66"/>
  </mergeCells>
  <pageMargins left="0.7" right="0.7" top="0.75" bottom="0.75" header="0.3" footer="0.3"/>
  <pageSetup scale="6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09E0-55A4-4F6C-B5A6-33F00DBCD3B1}">
  <sheetPr>
    <pageSetUpPr fitToPage="1"/>
  </sheetPr>
  <dimension ref="B1:U37"/>
  <sheetViews>
    <sheetView zoomScaleNormal="100" workbookViewId="0">
      <selection activeCell="I22" sqref="I22"/>
    </sheetView>
  </sheetViews>
  <sheetFormatPr defaultColWidth="8.77734375" defaultRowHeight="14.4" x14ac:dyDescent="0.3"/>
  <cols>
    <col min="2" max="2" width="9.44140625" customWidth="1"/>
    <col min="3" max="3" width="19.33203125" customWidth="1"/>
    <col min="4" max="4" width="11.44140625" customWidth="1"/>
    <col min="5" max="5" width="13.33203125" customWidth="1"/>
    <col min="6" max="6" width="11.77734375" customWidth="1"/>
    <col min="7" max="7" width="16.33203125" customWidth="1"/>
    <col min="8" max="8" width="12.77734375" customWidth="1"/>
    <col min="9" max="9" width="13" customWidth="1"/>
    <col min="10" max="10" width="12.21875" customWidth="1"/>
    <col min="11" max="11" width="10" customWidth="1"/>
    <col min="12" max="12" width="10.6640625" customWidth="1"/>
    <col min="15" max="15" width="9.77734375" bestFit="1" customWidth="1"/>
    <col min="17" max="17" width="10.44140625" customWidth="1"/>
    <col min="18" max="18" width="10.21875" customWidth="1"/>
    <col min="19" max="19" width="10.21875" bestFit="1" customWidth="1"/>
    <col min="20" max="20" width="12.33203125" customWidth="1"/>
  </cols>
  <sheetData>
    <row r="1" spans="2:21" x14ac:dyDescent="0.3">
      <c r="B1" s="65" t="s">
        <v>60</v>
      </c>
      <c r="C1" s="65"/>
      <c r="D1" s="65"/>
      <c r="E1" s="65"/>
      <c r="F1" s="65"/>
      <c r="G1" s="65"/>
      <c r="H1" s="65"/>
      <c r="I1" s="65"/>
      <c r="J1" s="65"/>
      <c r="K1" s="65"/>
      <c r="L1" s="65"/>
      <c r="M1" s="65"/>
    </row>
    <row r="2" spans="2:21" x14ac:dyDescent="0.3">
      <c r="B2" s="25"/>
      <c r="C2" s="25"/>
      <c r="D2" s="25"/>
      <c r="E2" s="25"/>
      <c r="F2" s="25"/>
      <c r="G2" s="25"/>
      <c r="H2" s="25"/>
      <c r="I2" s="25"/>
      <c r="J2" s="25"/>
      <c r="K2" s="25"/>
      <c r="L2" s="25"/>
      <c r="M2" s="25"/>
    </row>
    <row r="3" spans="2:21" x14ac:dyDescent="0.3">
      <c r="B3" s="5" t="s">
        <v>61</v>
      </c>
      <c r="C3" s="5" t="s">
        <v>62</v>
      </c>
      <c r="D3" s="8" t="s">
        <v>63</v>
      </c>
      <c r="E3" s="8" t="s">
        <v>64</v>
      </c>
      <c r="F3" s="8" t="s">
        <v>65</v>
      </c>
      <c r="G3" s="8" t="s">
        <v>66</v>
      </c>
      <c r="H3" s="8" t="s">
        <v>67</v>
      </c>
      <c r="I3" s="8" t="s">
        <v>68</v>
      </c>
      <c r="J3" s="8" t="s">
        <v>69</v>
      </c>
      <c r="K3" s="8" t="s">
        <v>70</v>
      </c>
      <c r="L3" s="8" t="s">
        <v>71</v>
      </c>
      <c r="M3" s="8" t="s">
        <v>72</v>
      </c>
      <c r="N3" s="8" t="s">
        <v>73</v>
      </c>
      <c r="O3" s="8" t="s">
        <v>74</v>
      </c>
      <c r="P3" s="2"/>
      <c r="Q3" s="5" t="s">
        <v>75</v>
      </c>
      <c r="R3" s="43">
        <v>47091.123548999989</v>
      </c>
    </row>
    <row r="4" spans="2:21" s="40" customFormat="1" ht="35.549999999999997" customHeight="1" x14ac:dyDescent="0.3">
      <c r="B4" s="30" t="s">
        <v>76</v>
      </c>
      <c r="C4" s="37" t="s">
        <v>78</v>
      </c>
      <c r="D4" s="38">
        <f>36000/12</f>
        <v>3000</v>
      </c>
      <c r="E4" s="38">
        <f t="shared" ref="E4:O8" si="0">36000/12</f>
        <v>3000</v>
      </c>
      <c r="F4" s="38">
        <f t="shared" si="0"/>
        <v>3000</v>
      </c>
      <c r="G4" s="38">
        <f t="shared" si="0"/>
        <v>3000</v>
      </c>
      <c r="H4" s="38">
        <f t="shared" si="0"/>
        <v>3000</v>
      </c>
      <c r="I4" s="38">
        <f t="shared" si="0"/>
        <v>3000</v>
      </c>
      <c r="J4" s="38">
        <f t="shared" si="0"/>
        <v>3000</v>
      </c>
      <c r="K4" s="49">
        <f t="shared" si="0"/>
        <v>3000</v>
      </c>
      <c r="L4" s="49">
        <f t="shared" si="0"/>
        <v>3000</v>
      </c>
      <c r="M4" s="49">
        <f t="shared" si="0"/>
        <v>3000</v>
      </c>
      <c r="N4" s="49">
        <f t="shared" si="0"/>
        <v>3000</v>
      </c>
      <c r="O4" s="49">
        <f t="shared" si="0"/>
        <v>3000</v>
      </c>
      <c r="P4" s="38"/>
      <c r="Q4" s="45">
        <f>D4+E4+F4+G4+H4+I4+J4+L4+K4+N4+M4+O4+P4</f>
        <v>36000</v>
      </c>
      <c r="R4" s="42">
        <f>R3/Q4</f>
        <v>1.3080867652499997</v>
      </c>
      <c r="S4" s="53"/>
      <c r="T4" s="54">
        <v>90</v>
      </c>
      <c r="U4" s="51" t="s">
        <v>131</v>
      </c>
    </row>
    <row r="5" spans="2:21" x14ac:dyDescent="0.3">
      <c r="B5" s="2"/>
      <c r="C5" s="17" t="s">
        <v>79</v>
      </c>
      <c r="D5" s="28" t="s">
        <v>82</v>
      </c>
      <c r="E5" s="28" t="s">
        <v>72</v>
      </c>
      <c r="F5" s="28" t="s">
        <v>83</v>
      </c>
      <c r="G5" s="28" t="s">
        <v>74</v>
      </c>
      <c r="H5" s="28" t="s">
        <v>63</v>
      </c>
      <c r="I5" s="28" t="s">
        <v>64</v>
      </c>
      <c r="J5" s="28" t="s">
        <v>65</v>
      </c>
      <c r="K5" s="28" t="s">
        <v>66</v>
      </c>
      <c r="L5" s="28" t="s">
        <v>67</v>
      </c>
      <c r="M5" s="28" t="s">
        <v>68</v>
      </c>
      <c r="N5" s="28" t="s">
        <v>69</v>
      </c>
      <c r="O5" s="28" t="s">
        <v>70</v>
      </c>
      <c r="P5" s="28" t="s">
        <v>82</v>
      </c>
      <c r="Q5" s="46"/>
      <c r="R5" s="43">
        <v>44583.819755000026</v>
      </c>
    </row>
    <row r="6" spans="2:21" ht="28.8" x14ac:dyDescent="0.3">
      <c r="B6" s="5" t="s">
        <v>76</v>
      </c>
      <c r="C6" s="3" t="s">
        <v>80</v>
      </c>
      <c r="D6" s="44">
        <f>36000/12/2</f>
        <v>1500</v>
      </c>
      <c r="E6" s="44">
        <f t="shared" si="0"/>
        <v>3000</v>
      </c>
      <c r="F6" s="44">
        <f t="shared" si="0"/>
        <v>3000</v>
      </c>
      <c r="G6" s="44">
        <f t="shared" si="0"/>
        <v>3000</v>
      </c>
      <c r="H6" s="44">
        <f t="shared" si="0"/>
        <v>3000</v>
      </c>
      <c r="I6" s="44">
        <f t="shared" si="0"/>
        <v>3000</v>
      </c>
      <c r="J6" s="44">
        <f t="shared" si="0"/>
        <v>3000</v>
      </c>
      <c r="K6" s="44">
        <f t="shared" si="0"/>
        <v>3000</v>
      </c>
      <c r="L6" s="44">
        <f t="shared" si="0"/>
        <v>3000</v>
      </c>
      <c r="M6" s="44">
        <f t="shared" si="0"/>
        <v>3000</v>
      </c>
      <c r="N6" s="44">
        <f t="shared" si="0"/>
        <v>3000</v>
      </c>
      <c r="O6" s="52">
        <f t="shared" si="0"/>
        <v>3000</v>
      </c>
      <c r="P6" s="52">
        <f>36000/12/2</f>
        <v>1500</v>
      </c>
      <c r="Q6" s="45">
        <f>D6+E6+F6+G6+H6+I6+J6+K6+L6+M6+N6+O6+P6</f>
        <v>36000</v>
      </c>
      <c r="R6" s="42">
        <f>R5/Q6</f>
        <v>1.2384394376388896</v>
      </c>
      <c r="T6" s="51">
        <v>90</v>
      </c>
      <c r="U6" s="51" t="s">
        <v>131</v>
      </c>
    </row>
    <row r="7" spans="2:21" x14ac:dyDescent="0.3">
      <c r="B7" s="2"/>
      <c r="C7" s="17" t="s">
        <v>79</v>
      </c>
      <c r="D7" s="28" t="s">
        <v>65</v>
      </c>
      <c r="E7" s="28" t="s">
        <v>66</v>
      </c>
      <c r="F7" s="28" t="s">
        <v>67</v>
      </c>
      <c r="G7" s="28" t="s">
        <v>68</v>
      </c>
      <c r="H7" s="28" t="s">
        <v>69</v>
      </c>
      <c r="I7" s="28" t="s">
        <v>70</v>
      </c>
      <c r="J7" s="28" t="s">
        <v>82</v>
      </c>
      <c r="K7" s="28" t="s">
        <v>72</v>
      </c>
      <c r="L7" s="28" t="s">
        <v>73</v>
      </c>
      <c r="M7" s="28" t="s">
        <v>74</v>
      </c>
      <c r="N7" s="28" t="s">
        <v>63</v>
      </c>
      <c r="O7" s="28" t="s">
        <v>64</v>
      </c>
      <c r="P7" s="28" t="s">
        <v>65</v>
      </c>
      <c r="Q7" s="46"/>
      <c r="R7" s="43"/>
    </row>
    <row r="8" spans="2:21" ht="28.8" x14ac:dyDescent="0.3">
      <c r="B8" s="5" t="s">
        <v>77</v>
      </c>
      <c r="C8" s="3" t="s">
        <v>81</v>
      </c>
      <c r="D8" s="44">
        <f>36000/12/2</f>
        <v>1500</v>
      </c>
      <c r="E8" s="44">
        <f t="shared" si="0"/>
        <v>3000</v>
      </c>
      <c r="F8" s="44">
        <f t="shared" si="0"/>
        <v>3000</v>
      </c>
      <c r="G8" s="44">
        <f t="shared" si="0"/>
        <v>3000</v>
      </c>
      <c r="H8" s="44">
        <f t="shared" si="0"/>
        <v>3000</v>
      </c>
      <c r="I8" s="44">
        <f t="shared" si="0"/>
        <v>3000</v>
      </c>
      <c r="J8" s="44">
        <f t="shared" si="0"/>
        <v>3000</v>
      </c>
      <c r="K8" s="44">
        <f t="shared" si="0"/>
        <v>3000</v>
      </c>
      <c r="L8" s="44">
        <f t="shared" si="0"/>
        <v>3000</v>
      </c>
      <c r="M8" s="44">
        <f t="shared" si="0"/>
        <v>3000</v>
      </c>
      <c r="N8" s="44">
        <f t="shared" si="0"/>
        <v>3000</v>
      </c>
      <c r="O8" s="44">
        <f t="shared" si="0"/>
        <v>3000</v>
      </c>
      <c r="P8" s="52">
        <f>36000/12/2</f>
        <v>1500</v>
      </c>
      <c r="Q8" s="45">
        <f>D8+E8+F8+G8+H8+I8+J8+K8+L8+M8+N8+O8+P8</f>
        <v>36000</v>
      </c>
      <c r="R8" s="42">
        <f>R7/Q8</f>
        <v>0</v>
      </c>
      <c r="T8" s="51"/>
      <c r="U8" s="51" t="s">
        <v>131</v>
      </c>
    </row>
    <row r="9" spans="2:21" x14ac:dyDescent="0.3">
      <c r="B9" s="66" t="s">
        <v>84</v>
      </c>
      <c r="C9" s="66"/>
      <c r="D9" s="66"/>
      <c r="E9" s="66"/>
      <c r="F9" s="66"/>
      <c r="G9" s="66"/>
      <c r="H9" s="66"/>
      <c r="I9" s="66"/>
      <c r="J9" s="66"/>
      <c r="K9" s="66"/>
      <c r="L9" s="66"/>
      <c r="M9" s="66"/>
      <c r="N9" s="66"/>
      <c r="O9" s="66"/>
      <c r="P9" s="66"/>
      <c r="Q9" s="66"/>
    </row>
    <row r="10" spans="2:21" x14ac:dyDescent="0.3">
      <c r="T10" s="41" t="s">
        <v>132</v>
      </c>
    </row>
    <row r="11" spans="2:21" x14ac:dyDescent="0.3">
      <c r="B11" s="65" t="s">
        <v>85</v>
      </c>
      <c r="C11" s="65"/>
      <c r="D11" s="65"/>
      <c r="E11" s="65"/>
      <c r="F11" s="65"/>
      <c r="G11" s="65"/>
      <c r="H11" s="65"/>
      <c r="I11" s="65"/>
      <c r="J11" s="65"/>
      <c r="K11" s="65"/>
      <c r="L11" s="65"/>
      <c r="M11" s="65"/>
      <c r="N11" s="65"/>
      <c r="O11" s="65"/>
      <c r="P11" s="65"/>
      <c r="Q11" s="65"/>
      <c r="T11" s="41" t="s">
        <v>133</v>
      </c>
    </row>
    <row r="13" spans="2:21" ht="57.6" x14ac:dyDescent="0.3">
      <c r="B13" s="2"/>
      <c r="C13" s="30" t="s">
        <v>86</v>
      </c>
      <c r="D13" s="30" t="s">
        <v>87</v>
      </c>
      <c r="E13" s="31" t="s">
        <v>88</v>
      </c>
      <c r="F13" s="31" t="s">
        <v>89</v>
      </c>
    </row>
    <row r="14" spans="2:21" x14ac:dyDescent="0.3">
      <c r="B14" s="32">
        <v>1</v>
      </c>
      <c r="C14" s="32">
        <v>2</v>
      </c>
      <c r="D14" s="32">
        <v>3</v>
      </c>
      <c r="E14" s="32">
        <v>4</v>
      </c>
      <c r="F14" s="32">
        <v>5</v>
      </c>
    </row>
    <row r="15" spans="2:21" x14ac:dyDescent="0.3">
      <c r="B15" s="16">
        <v>1</v>
      </c>
      <c r="C15" s="33"/>
      <c r="D15" s="33"/>
      <c r="E15" s="33"/>
      <c r="F15" s="33"/>
    </row>
    <row r="16" spans="2:21" x14ac:dyDescent="0.3">
      <c r="B16" s="16">
        <v>2</v>
      </c>
      <c r="C16" s="33"/>
      <c r="D16" s="33"/>
      <c r="E16" s="33"/>
      <c r="F16" s="33"/>
    </row>
    <row r="17" spans="2:13" x14ac:dyDescent="0.3">
      <c r="B17" s="16">
        <v>3</v>
      </c>
      <c r="C17" s="33"/>
      <c r="D17" s="33"/>
      <c r="E17" s="33"/>
      <c r="F17" s="33"/>
    </row>
    <row r="18" spans="2:13" x14ac:dyDescent="0.3">
      <c r="B18" s="16">
        <v>4</v>
      </c>
      <c r="C18" s="33"/>
      <c r="D18" s="33"/>
      <c r="E18" s="33"/>
      <c r="F18" s="33"/>
    </row>
    <row r="19" spans="2:13" x14ac:dyDescent="0.3">
      <c r="B19" s="16">
        <v>5</v>
      </c>
      <c r="C19" s="33"/>
      <c r="D19" s="33"/>
      <c r="E19" s="33"/>
      <c r="F19" s="33"/>
    </row>
    <row r="20" spans="2:13" x14ac:dyDescent="0.3">
      <c r="B20" s="16">
        <v>6</v>
      </c>
      <c r="C20" s="33"/>
      <c r="D20" s="33"/>
      <c r="E20" s="33"/>
      <c r="F20" s="33"/>
    </row>
    <row r="21" spans="2:13" x14ac:dyDescent="0.3">
      <c r="B21" s="16">
        <v>7</v>
      </c>
      <c r="C21" s="33"/>
      <c r="D21" s="33"/>
      <c r="E21" s="33"/>
      <c r="F21" s="33"/>
    </row>
    <row r="22" spans="2:13" x14ac:dyDescent="0.3">
      <c r="B22" s="16">
        <v>8</v>
      </c>
      <c r="C22" s="33"/>
      <c r="D22" s="33"/>
      <c r="E22" s="33"/>
      <c r="F22" s="33"/>
    </row>
    <row r="23" spans="2:13" x14ac:dyDescent="0.3">
      <c r="B23" s="16">
        <v>9</v>
      </c>
      <c r="C23" s="33"/>
      <c r="D23" s="33"/>
      <c r="E23" s="33"/>
      <c r="F23" s="33"/>
    </row>
    <row r="24" spans="2:13" x14ac:dyDescent="0.3">
      <c r="B24" s="16">
        <v>10</v>
      </c>
      <c r="C24" s="33"/>
      <c r="D24" s="33"/>
      <c r="E24" s="33"/>
      <c r="F24" s="33"/>
    </row>
    <row r="25" spans="2:13" x14ac:dyDescent="0.3">
      <c r="B25" s="16">
        <v>11</v>
      </c>
      <c r="C25" s="33"/>
      <c r="D25" s="33"/>
      <c r="E25" s="33"/>
      <c r="F25" s="33"/>
    </row>
    <row r="26" spans="2:13" x14ac:dyDescent="0.3">
      <c r="B26" s="16">
        <v>12</v>
      </c>
      <c r="C26" s="33"/>
      <c r="D26" s="33"/>
      <c r="E26" s="33"/>
      <c r="F26" s="33"/>
    </row>
    <row r="27" spans="2:13" x14ac:dyDescent="0.3">
      <c r="B27" s="16">
        <v>13</v>
      </c>
      <c r="C27" s="33"/>
      <c r="D27" s="33"/>
      <c r="E27" s="33"/>
      <c r="F27" s="33"/>
    </row>
    <row r="28" spans="2:13" x14ac:dyDescent="0.3">
      <c r="B28" s="16">
        <v>14</v>
      </c>
      <c r="C28" s="33"/>
      <c r="D28" s="33"/>
      <c r="E28" s="33"/>
      <c r="F28" s="33"/>
    </row>
    <row r="29" spans="2:13" x14ac:dyDescent="0.3">
      <c r="B29" s="16">
        <v>15</v>
      </c>
      <c r="C29" s="33"/>
      <c r="D29" s="33"/>
      <c r="E29" s="33"/>
      <c r="F29" s="33"/>
    </row>
    <row r="30" spans="2:13" x14ac:dyDescent="0.3">
      <c r="B30" s="16">
        <v>16</v>
      </c>
      <c r="C30" s="33"/>
      <c r="D30" s="33"/>
      <c r="E30" s="33"/>
      <c r="F30" s="33"/>
    </row>
    <row r="31" spans="2:13" x14ac:dyDescent="0.3">
      <c r="B31" s="35" t="s">
        <v>75</v>
      </c>
      <c r="C31" s="26"/>
      <c r="D31" s="36"/>
      <c r="E31" s="36">
        <f>SUM(E15:E30)</f>
        <v>0</v>
      </c>
      <c r="F31" s="36">
        <f>SUM(F15:F30)</f>
        <v>0</v>
      </c>
    </row>
    <row r="32" spans="2:13" ht="76.5" customHeight="1" x14ac:dyDescent="0.3">
      <c r="B32" s="55" t="s">
        <v>90</v>
      </c>
      <c r="C32" s="56"/>
      <c r="D32" s="56"/>
      <c r="E32" s="56"/>
      <c r="F32" s="56"/>
      <c r="G32" s="56"/>
      <c r="H32" s="56"/>
      <c r="I32" s="56"/>
      <c r="J32" s="56"/>
      <c r="K32" s="56"/>
      <c r="L32" s="56"/>
      <c r="M32" s="56"/>
    </row>
    <row r="34" spans="2:12" x14ac:dyDescent="0.3">
      <c r="B34" s="34" t="s">
        <v>91</v>
      </c>
      <c r="C34" s="34" t="s">
        <v>92</v>
      </c>
      <c r="D34" s="34" t="s">
        <v>93</v>
      </c>
      <c r="E34" s="34" t="s">
        <v>94</v>
      </c>
      <c r="F34" s="34" t="s">
        <v>95</v>
      </c>
      <c r="G34" s="34" t="s">
        <v>96</v>
      </c>
      <c r="H34" s="34" t="s">
        <v>97</v>
      </c>
      <c r="I34" s="34" t="s">
        <v>98</v>
      </c>
      <c r="J34" s="34" t="s">
        <v>99</v>
      </c>
      <c r="K34" s="34" t="s">
        <v>100</v>
      </c>
    </row>
    <row r="35" spans="2:12" x14ac:dyDescent="0.3">
      <c r="B35" s="34" t="s">
        <v>101</v>
      </c>
      <c r="C35" s="34" t="s">
        <v>102</v>
      </c>
      <c r="D35" s="34" t="s">
        <v>103</v>
      </c>
      <c r="E35" s="34" t="s">
        <v>104</v>
      </c>
      <c r="F35" s="34" t="s">
        <v>105</v>
      </c>
      <c r="G35" s="34" t="s">
        <v>106</v>
      </c>
      <c r="H35" s="34" t="s">
        <v>107</v>
      </c>
      <c r="I35" s="34" t="s">
        <v>108</v>
      </c>
      <c r="J35" s="34" t="s">
        <v>109</v>
      </c>
      <c r="K35" s="34" t="s">
        <v>110</v>
      </c>
    </row>
    <row r="36" spans="2:12" x14ac:dyDescent="0.3">
      <c r="B36" s="34" t="s">
        <v>111</v>
      </c>
      <c r="C36" s="34" t="s">
        <v>112</v>
      </c>
      <c r="D36" s="34" t="s">
        <v>113</v>
      </c>
      <c r="E36" s="34" t="s">
        <v>114</v>
      </c>
      <c r="F36" s="34" t="s">
        <v>115</v>
      </c>
      <c r="G36" s="34" t="s">
        <v>116</v>
      </c>
      <c r="H36" s="34" t="s">
        <v>117</v>
      </c>
      <c r="I36" s="34" t="s">
        <v>118</v>
      </c>
      <c r="J36" s="34" t="s">
        <v>119</v>
      </c>
      <c r="K36" s="34" t="s">
        <v>120</v>
      </c>
      <c r="L36" s="34" t="s">
        <v>47</v>
      </c>
    </row>
    <row r="37" spans="2:12" x14ac:dyDescent="0.3">
      <c r="B37" s="34" t="s">
        <v>121</v>
      </c>
      <c r="C37" s="34" t="s">
        <v>122</v>
      </c>
      <c r="D37" s="34" t="s">
        <v>123</v>
      </c>
      <c r="E37" s="34" t="s">
        <v>124</v>
      </c>
      <c r="F37" s="34" t="s">
        <v>125</v>
      </c>
      <c r="G37" s="34" t="s">
        <v>126</v>
      </c>
      <c r="H37" s="34" t="s">
        <v>127</v>
      </c>
      <c r="I37" s="34" t="s">
        <v>128</v>
      </c>
      <c r="J37" s="34" t="s">
        <v>129</v>
      </c>
      <c r="K37" s="34" t="s">
        <v>130</v>
      </c>
      <c r="L37" s="34" t="s">
        <v>47</v>
      </c>
    </row>
  </sheetData>
  <mergeCells count="4">
    <mergeCell ref="B1:M1"/>
    <mergeCell ref="B9:Q9"/>
    <mergeCell ref="B11:Q11"/>
    <mergeCell ref="B32:M32"/>
  </mergeCells>
  <pageMargins left="0.7" right="0.7" top="0.75" bottom="0.75" header="0.3" footer="0.3"/>
  <pageSetup scale="63"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Tabelle1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Ciobotaru</dc:creator>
  <cp:lastModifiedBy>Sabina Ciobotaru</cp:lastModifiedBy>
  <cp:lastPrinted>2025-03-27T09:25:50Z</cp:lastPrinted>
  <dcterms:created xsi:type="dcterms:W3CDTF">2015-06-05T18:19:34Z</dcterms:created>
  <dcterms:modified xsi:type="dcterms:W3CDTF">2025-04-08T14:11:25Z</dcterms:modified>
</cp:coreProperties>
</file>